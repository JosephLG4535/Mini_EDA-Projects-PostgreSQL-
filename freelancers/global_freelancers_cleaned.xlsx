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global_freelancers_raw" sheetId="1" r:id="rId1"/>
  </sheets>
  <definedNames>
    <definedName name="_xlnm._FilterDatabase" localSheetId="0" hidden="1">global_freelancers_raw!$A$1:$S$1001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<sst xmlns="http://schemas.openxmlformats.org/spreadsheetml/2006/main" count="6825" uniqueCount="2084">
  <si>
    <t>freelancer_ID</t>
  </si>
  <si>
    <t>name</t>
  </si>
  <si>
    <t>gender</t>
  </si>
  <si>
    <t>gender (cleaned)</t>
  </si>
  <si>
    <t>age</t>
  </si>
  <si>
    <t>age (cleaned)</t>
  </si>
  <si>
    <t>country</t>
  </si>
  <si>
    <t>language</t>
  </si>
  <si>
    <t>primary_skill</t>
  </si>
  <si>
    <t>years_of_experience</t>
  </si>
  <si>
    <t>years_of_experience (cleaned)</t>
  </si>
  <si>
    <t>hourly_rate (USD)</t>
  </si>
  <si>
    <t>hourly_rate (USD) (cleaned)</t>
  </si>
  <si>
    <t>rating</t>
  </si>
  <si>
    <t>rating (cleaned)</t>
  </si>
  <si>
    <t>is_active</t>
  </si>
  <si>
    <t>is_active (cleaned)</t>
  </si>
  <si>
    <t>client_satisfaction</t>
  </si>
  <si>
    <t>client_statisfaction (cleaned)</t>
  </si>
  <si>
    <t>FL250001</t>
  </si>
  <si>
    <t>Ms. Nicole Kidd</t>
  </si>
  <si>
    <t>f</t>
  </si>
  <si>
    <t>Italy</t>
  </si>
  <si>
    <t>Italian</t>
  </si>
  <si>
    <t>Blockchain Development</t>
  </si>
  <si>
    <t>FL250002</t>
  </si>
  <si>
    <t>Vanessa Garcia</t>
  </si>
  <si>
    <t>FEMALE</t>
  </si>
  <si>
    <t>Australia</t>
  </si>
  <si>
    <t>English</t>
  </si>
  <si>
    <t>Mobile Apps</t>
  </si>
  <si>
    <t>USD 100</t>
  </si>
  <si>
    <t>FL250003</t>
  </si>
  <si>
    <t>Juan Nelson</t>
  </si>
  <si>
    <t>male</t>
  </si>
  <si>
    <t>Germany</t>
  </si>
  <si>
    <t>German</t>
  </si>
  <si>
    <t>Graphic Design</t>
  </si>
  <si>
    <t>N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</si>
  <si>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</si>
  <si>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</si>
  <si>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</si>
  <si>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</si>
  <si>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</si>
  <si>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</si>
  <si>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</si>
  <si>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</si>
  <si>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</si>
  <si>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</si>
  <si>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</si>
  <si>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</si>
  <si>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</si>
  <si>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</si>
  <si>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</si>
  <si>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</si>
  <si>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</si>
  <si>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</si>
  <si>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</si>
  <si>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</si>
  <si>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</si>
  <si>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</si>
  <si>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</si>
  <si>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</si>
  <si>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</si>
  <si>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</si>
  <si>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</si>
  <si>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>FL250010</t>
  </si>
  <si>
    <t>Matthew Lloyd</t>
  </si>
  <si>
    <t>MALE</t>
  </si>
  <si>
    <t>Turkey</t>
  </si>
  <si>
    <t>Turkish</t>
  </si>
  <si>
    <t>$50</t>
  </si>
  <si>
    <t>FL250011</t>
  </si>
  <si>
    <t>Gavin Randall</t>
  </si>
  <si>
    <t>United Kingdom</t>
  </si>
  <si>
    <t>yes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</si>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</sst>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0.00_);[Red]\(0.00\)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80" fontId="0" fillId="0" borderId="0" xfId="0" applyNumberFormat="1">
      <alignment vertical="center"/>
    </xf>
    <xf numFmtId="0" fontId="3" fillId="0" borderId="0" xfId="0" applyFont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1"/>
  <sheetViews>
    <sheetView tabSelected="1" zoomScaleSheetLayoutView="60" topLeftCell="I1" workbookViewId="0">
      <selection activeCell="S7" sqref="S7"/>
    </sheetView>
  </sheetViews>
  <sheetFormatPr defaultColWidth="10" defaultRowHeight="14.4"/>
  <cols>
    <col min="1" max="1" width="19.1111111111111" customWidth="1"/>
    <col min="2" max="2" width="24.7777777777778" customWidth="1"/>
    <col min="3" max="3" width="12.8888888888889" customWidth="1"/>
    <col min="4" max="4" width="25.2222222222222" customWidth="1"/>
    <col min="5" max="5" width="11.4444444444444" customWidth="1"/>
    <col min="6" max="6" width="17.8888888888889" customWidth="1"/>
    <col min="7" max="7" width="17.3333333333333" customWidth="1"/>
    <col min="8" max="8" width="17.2222222222222" customWidth="1"/>
    <col min="9" max="9" width="23.8888888888889" customWidth="1"/>
    <col min="10" max="11" width="16.1111111111111" customWidth="1"/>
    <col min="12" max="13" width="14.3333333333333" customWidth="1"/>
    <col min="14" max="15" width="14.5555555555556" customWidth="1"/>
    <col min="16" max="17" width="12.8888888888889" customWidth="1"/>
    <col min="18" max="18" width="20.1111111111111" customWidth="1"/>
    <col min="19" max="19" width="26.2222222222222" customWidth="1"/>
  </cols>
  <sheetData>
    <row r="1" ht="15.6" spans="1:1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4" t="s">
        <v>18</v>
      </c>
    </row>
    <row r="2" spans="1:19">
      <c r="A2" t="s">
        <v>19</v>
      </c>
      <c r="B2" t="s">
        <v>20</v>
      </c>
      <c r="C2" t="s">
        <v>21</v>
      </c>
      <c r="D2" t="str" cm="1">
        <f t="array" ref="D2">_xlfn.IFS(OR(LOWER(C2)="f",LOWER(C2)="female"),"Female",TRUE,"Male")</f>
        <v>Female</v>
      </c>
      <c r="E2">
        <v>52</v>
      </c>
      <c r="F2">
        <f>IF(ISNUMBER(E2),E2,"Not Specified")</f>
        <v>52</v>
      </c>
      <c r="G2" t="s">
        <v>22</v>
      </c>
      <c r="H2" t="s">
        <v>23</v>
      </c>
      <c r="I2" t="s">
        <v>24</v>
      </c>
      <c r="J2">
        <v>11</v>
      </c>
      <c r="K2">
        <f>IF(ISNUMBER(J2),J2,"Not Specified")</f>
        <v>11</v>
      </c>
      <c r="L2">
        <v>100</v>
      </c>
      <c r="M2" t="str">
        <f>IF(SUBSTITUTE(SUBSTITUTE(L2,"USD",""),"$","")="","Not Specified",SUBSTITUTE(SUBSTITUTE(L2,"USD",""),"$",""))</f>
        <v>100</v>
      </c>
      <c r="O2" s="3" t="str">
        <f>IF(OR(N2="",N2=0),"Not Specified",N2)</f>
        <v>Not Specified</v>
      </c>
      <c r="P2">
        <v>0</v>
      </c>
      <c r="Q2" t="str" cm="1">
        <f t="array" ref="Q2">_xlfn.IFS(ISBLANK(P2),"Not Specified",OR(P2="N",P2=FALSE,P2="no",P2=0),"no",TRUE,"yes")</f>
        <v>no</v>
      </c>
      <c r="S2" t="str">
        <f>IF(ISBLANK(R2),"Not Specified",IF(R2&lt;=1,R2*100,R2))</f>
        <v>Not Specified</v>
      </c>
    </row>
    <row r="3" spans="1:19">
      <c r="A3" t="s">
        <v>25</v>
      </c>
      <c r="B3" t="s">
        <v>26</v>
      </c>
      <c r="C3" t="s">
        <v>27</v>
      </c>
      <c r="D3" t="str" cm="1">
        <f t="array" ref="D3">_xlfn.IFS(OR(LOWER(C3)="f",LOWER(C3)="female"),"Female",TRUE,"Male")</f>
        <v>Female</v>
      </c>
      <c r="E3">
        <v>52</v>
      </c>
      <c r="F3">
        <f t="shared" ref="F3:F66" si="0">IF(ISNUMBER(E3),E3,"Not Specified")</f>
        <v>52</v>
      </c>
      <c r="G3" t="s">
        <v>28</v>
      </c>
      <c r="H3" t="s">
        <v>29</v>
      </c>
      <c r="I3" t="s">
        <v>30</v>
      </c>
      <c r="J3">
        <v>34</v>
      </c>
      <c r="K3">
        <f t="shared" ref="K3:K66" si="1">IF(ISNUMBER(J3),J3,"Not Specified")</f>
        <v>34</v>
      </c>
      <c r="L3" t="s">
        <v>31</v>
      </c>
      <c r="M3" t="str">
        <f t="shared" ref="M3:M66" si="2">IF(SUBSTITUTE(SUBSTITUTE(L3,"USD",""),"$","")="","Not Specified",SUBSTITUTE(SUBSTITUTE(L3,"USD",""),"$",""))</f>
        <v> 100</v>
      </c>
      <c r="N3">
        <v>3.3</v>
      </c>
      <c r="O3" s="3">
        <f t="shared" ref="O3:O66" si="3">IF(OR(N3="",N3=0),"Not Specified",N3)</f>
        <v>3.3</v>
      </c>
      <c r="P3">
        <v>1</v>
      </c>
      <c r="Q3" t="str" cm="1">
        <f t="array" ref="Q3">_xlfn.IFS(ISBLANK(P3),"Not Specified",OR(P3="N",P3=FALSE,P3="no",P3=0),"no",TRUE,"yes")</f>
        <v>yes</v>
      </c>
      <c r="R3" s="5">
        <v>0.84</v>
      </c>
      <c r="S3">
        <f t="shared" ref="S3:S66" si="4">IF(ISBLANK(R3),"Not Specified",IF(R3&lt;=1,R3*100,R3))</f>
        <v>84</v>
      </c>
    </row>
    <row r="4" spans="1:19">
      <c r="A4" t="s">
        <v>32</v>
      </c>
      <c r="B4" t="s">
        <v>33</v>
      </c>
      <c r="C4" t="s">
        <v>34</v>
      </c>
      <c r="D4" t="str" cm="1">
        <f t="array" ref="D4">_xlfn.IFS(OR(LOWER(C4)="f",LOWER(C4)="female"),"Female",TRUE,"Male")</f>
        <v>Male</v>
      </c>
      <c r="E4">
        <v>53</v>
      </c>
      <c r="F4">
        <f t="shared" si="0"/>
        <v>53</v>
      </c>
      <c r="G4" t="s">
        <v>35</v>
      </c>
      <c r="H4" t="s">
        <v>36</v>
      </c>
      <c r="I4" t="s">
        <v>37</v>
      </c>
      <c r="J4">
        <v>31</v>
      </c>
      <c r="K4">
        <f t="shared" si="1"/>
        <v>31</v>
      </c>
      <c r="L4">
        <v>50</v>
      </c>
      <c r="M4" t="str">
        <f t="shared" si="2"/>
        <v>50</v>
      </c>
      <c r="N4">
        <v>0</v>
      </c>
      <c r="O4" s="3" t="str">
        <f t="shared" si="3"/>
        <v>Not Specified</v>
      </c>
      <c r="P4" t="s">
        <v>38</v>
      </c>
      <c r="Q4" t="str" cm="1">
        <f t="array" ref="Q4">_xlfn.IFS(ISBLANK(P4),"Not Specified",OR(P4="N",P4=FALSE,P4="no",P4=0),"no",TRUE,"yes")</f>
        <v>no</v>
      </c>
      <c r="R4" s="5">
        <v>0.71</v>
      </c>
      <c r="S4">
        <f t="shared" si="4"/>
        <v>71</v>
      </c>
    </row>
    <row r="5" spans="1:19">
      <c r="A5" t="s">
        <v>39</v>
      </c>
      <c r="B5" t="s">
        <v>40</v>
      </c>
      <c r="C5" t="s">
        <v>41</v>
      </c>
      <c r="D5" t="str" cm="1">
        <f t="array" ref="D5">_xlfn.IFS(OR(LOWER(C5)="f",LOWER(C5)="female"),"Female",TRUE,"Male")</f>
        <v>Female</v>
      </c>
      <c r="E5">
        <v>38</v>
      </c>
      <c r="F5">
        <f t="shared" si="0"/>
        <v>38</v>
      </c>
      <c r="G5" t="s">
        <v>28</v>
      </c>
      <c r="H5" t="s">
        <v>29</v>
      </c>
      <c r="I5" t="s">
        <v>42</v>
      </c>
      <c r="J5">
        <v>4</v>
      </c>
      <c r="K5">
        <f t="shared" si="1"/>
        <v>4</v>
      </c>
      <c r="L5" t="s">
        <v>43</v>
      </c>
      <c r="M5" t="str">
        <f t="shared" si="2"/>
        <v>40</v>
      </c>
      <c r="N5">
        <v>1.5</v>
      </c>
      <c r="O5" s="3">
        <f t="shared" si="3"/>
        <v>1.5</v>
      </c>
      <c r="P5" t="s">
        <v>38</v>
      </c>
      <c r="Q5" t="str" cm="1">
        <f t="array" ref="Q5">_xlfn.IFS(ISBLANK(P5),"Not Specified",OR(P5="N",P5=FALSE,P5="no",P5=0),"no",TRUE,"yes")</f>
        <v>no</v>
      </c>
      <c r="R5" s="5">
        <v>0.9</v>
      </c>
      <c r="S5">
        <f t="shared" si="4"/>
        <v>90</v>
      </c>
    </row>
    <row r="6" spans="1:19">
      <c r="A6" t="s">
        <v>44</v>
      </c>
      <c r="B6" t="s">
        <v>45</v>
      </c>
      <c r="C6" t="s">
        <v>46</v>
      </c>
      <c r="D6" t="str" cm="1">
        <f t="array" ref="D6">_xlfn.IFS(OR(LOWER(C6)="f",LOWER(C6)="female"),"Female",TRUE,"Male")</f>
        <v>Female</v>
      </c>
      <c r="E6">
        <v>53</v>
      </c>
      <c r="F6">
        <f t="shared" si="0"/>
        <v>53</v>
      </c>
      <c r="G6" t="s">
        <v>35</v>
      </c>
      <c r="H6" t="s">
        <v>36</v>
      </c>
      <c r="I6" t="s">
        <v>42</v>
      </c>
      <c r="J6">
        <v>27</v>
      </c>
      <c r="K6">
        <f t="shared" si="1"/>
        <v>27</v>
      </c>
      <c r="L6">
        <v>30</v>
      </c>
      <c r="M6" t="str">
        <f t="shared" si="2"/>
        <v>30</v>
      </c>
      <c r="N6">
        <v>4.8</v>
      </c>
      <c r="O6" s="3">
        <f t="shared" si="3"/>
        <v>4.8</v>
      </c>
      <c r="P6">
        <v>0</v>
      </c>
      <c r="Q6" t="str" cm="1">
        <f t="array" ref="Q6">_xlfn.IFS(ISBLANK(P6),"Not Specified",OR(P6="N",P6=FALSE,P6="no",P6=0),"no",TRUE,"yes")</f>
        <v>no</v>
      </c>
      <c r="R6" s="5">
        <v>0.83</v>
      </c>
      <c r="S6">
        <f t="shared" si="4"/>
        <v>83</v>
      </c>
    </row>
    <row r="7" spans="1:19">
      <c r="A7" t="s">
        <v>47</v>
      </c>
      <c r="B7" t="s">
        <v>48</v>
      </c>
      <c r="C7" t="s">
        <v>46</v>
      </c>
      <c r="D7" t="str" cm="1">
        <f t="array" ref="D7">_xlfn.IFS(OR(LOWER(C7)="f",LOWER(C7)="female"),"Female",TRUE,"Male")</f>
        <v>Female</v>
      </c>
      <c r="E7">
        <v>59</v>
      </c>
      <c r="F7">
        <f t="shared" si="0"/>
        <v>59</v>
      </c>
      <c r="G7" t="s">
        <v>49</v>
      </c>
      <c r="H7" t="s">
        <v>50</v>
      </c>
      <c r="I7" t="s">
        <v>51</v>
      </c>
      <c r="J7">
        <v>14</v>
      </c>
      <c r="K7">
        <f t="shared" si="1"/>
        <v>14</v>
      </c>
      <c r="L7" t="s">
        <v>52</v>
      </c>
      <c r="M7" t="str">
        <f t="shared" si="2"/>
        <v>30</v>
      </c>
      <c r="N7">
        <v>2.4</v>
      </c>
      <c r="O7" s="3">
        <f t="shared" si="3"/>
        <v>2.4</v>
      </c>
      <c r="P7" t="b">
        <v>0</v>
      </c>
      <c r="Q7" t="str" cm="1">
        <f t="array" ref="Q7">_xlfn.IFS(ISBLANK(P7),"Not Specified",OR(P7="N",P7=FALSE,P7="no",P7=0),"no",TRUE,"yes")</f>
        <v>no</v>
      </c>
      <c r="S7" t="str">
        <f t="shared" si="4"/>
        <v>Not Specified</v>
      </c>
    </row>
    <row r="8" spans="1:19">
      <c r="A8" t="s">
        <v>53</v>
      </c>
      <c r="B8" t="s">
        <v>54</v>
      </c>
      <c r="C8" t="s">
        <v>55</v>
      </c>
      <c r="D8" t="str" cm="1">
        <f t="array" ref="D8">_xlfn.IFS(OR(LOWER(C8)="f",LOWER(C8)="female"),"Female",TRUE,"Male")</f>
        <v>Male</v>
      </c>
      <c r="E8">
        <v>52</v>
      </c>
      <c r="F8">
        <f t="shared" si="0"/>
        <v>52</v>
      </c>
      <c r="G8" t="s">
        <v>56</v>
      </c>
      <c r="H8" t="s">
        <v>57</v>
      </c>
      <c r="I8" t="s">
        <v>58</v>
      </c>
      <c r="J8">
        <v>10</v>
      </c>
      <c r="K8">
        <f t="shared" si="1"/>
        <v>10</v>
      </c>
      <c r="L8" t="s">
        <v>59</v>
      </c>
      <c r="M8" t="str">
        <f t="shared" si="2"/>
        <v> 75</v>
      </c>
      <c r="N8">
        <v>3.1</v>
      </c>
      <c r="O8" s="3">
        <f t="shared" si="3"/>
        <v>3.1</v>
      </c>
      <c r="P8">
        <v>0</v>
      </c>
      <c r="Q8" t="str" cm="1">
        <f t="array" ref="Q8">_xlfn.IFS(ISBLANK(P8),"Not Specified",OR(P8="N",P8=FALSE,P8="no",P8=0),"no",TRUE,"yes")</f>
        <v>no</v>
      </c>
      <c r="R8" s="5">
        <v>0.94</v>
      </c>
      <c r="S8">
        <f t="shared" si="4"/>
        <v>94</v>
      </c>
    </row>
    <row r="9" spans="1:19">
      <c r="A9" t="s">
        <v>60</v>
      </c>
      <c r="B9" t="s">
        <v>61</v>
      </c>
      <c r="C9" t="s">
        <v>34</v>
      </c>
      <c r="D9" t="str" cm="1">
        <f t="array" ref="D9">_xlfn.IFS(OR(LOWER(C9)="f",LOWER(C9)="female"),"Female",TRUE,"Male")</f>
        <v>Male</v>
      </c>
      <c r="E9">
        <v>43</v>
      </c>
      <c r="F9">
        <f t="shared" si="0"/>
        <v>43</v>
      </c>
      <c r="G9" t="s">
        <v>22</v>
      </c>
      <c r="H9" t="s">
        <v>23</v>
      </c>
      <c r="I9" t="s">
        <v>24</v>
      </c>
      <c r="J9">
        <v>14</v>
      </c>
      <c r="K9">
        <f t="shared" si="1"/>
        <v>14</v>
      </c>
      <c r="L9" t="s">
        <v>62</v>
      </c>
      <c r="M9" t="str">
        <f t="shared" si="2"/>
        <v> 40</v>
      </c>
      <c r="N9">
        <v>4.6</v>
      </c>
      <c r="O9" s="3">
        <f t="shared" si="3"/>
        <v>4.6</v>
      </c>
      <c r="P9" t="b">
        <v>0</v>
      </c>
      <c r="Q9" t="str" cm="1">
        <f t="array" ref="Q9">_xlfn.IFS(ISBLANK(P9),"Not Specified",OR(P9="N",P9=FALSE,P9="no",P9=0),"no",TRUE,"yes")</f>
        <v>no</v>
      </c>
      <c r="R9" s="5">
        <v>0.94</v>
      </c>
      <c r="S9">
        <f t="shared" si="4"/>
        <v>94</v>
      </c>
    </row>
    <row r="10" spans="1:19">
      <c r="A10" t="s">
        <v>63</v>
      </c>
      <c r="B10" t="s">
        <v>64</v>
      </c>
      <c r="C10" t="s">
        <v>34</v>
      </c>
      <c r="D10" t="str" cm="1">
        <f t="array" ref="D10">_xlfn.IFS(OR(LOWER(C10)="f",LOWER(C10)="female"),"Female",TRUE,"Male")</f>
        <v>Male</v>
      </c>
      <c r="E10">
        <v>26</v>
      </c>
      <c r="F10">
        <f t="shared" si="0"/>
        <v>26</v>
      </c>
      <c r="G10" t="s">
        <v>65</v>
      </c>
      <c r="H10" t="s">
        <v>29</v>
      </c>
      <c r="I10" t="s">
        <v>24</v>
      </c>
      <c r="J10">
        <v>4</v>
      </c>
      <c r="K10">
        <f t="shared" si="1"/>
        <v>4</v>
      </c>
      <c r="M10" t="str">
        <f t="shared" si="2"/>
        <v>Not Specified</v>
      </c>
      <c r="N10">
        <v>4</v>
      </c>
      <c r="O10" s="3">
        <f t="shared" si="3"/>
        <v>4</v>
      </c>
      <c r="P10" t="b">
        <v>1</v>
      </c>
      <c r="Q10" t="str" cm="1">
        <f t="array" ref="Q10">_xlfn.IFS(ISBLANK(P10),"Not Specified",OR(P10="N",P10=FALSE,P10="no",P10=0),"no",TRUE,"yes")</f>
        <v>yes</v>
      </c>
      <c r="R10" s="5">
        <v>0.76</v>
      </c>
      <c r="S10">
        <f t="shared" si="4"/>
        <v>76</v>
      </c>
    </row>
    <row r="11" spans="1:19">
      <c r="A11" t="s">
        <v>66</v>
      </c>
      <c r="B11" t="s">
        <v>67</v>
      </c>
      <c r="C11" t="s">
        <v>68</v>
      </c>
      <c r="D11" t="str" cm="1">
        <f t="array" ref="D11">_xlfn.IFS(OR(LOWER(C11)="f",LOWER(C11)="female"),"Female",TRUE,"Male")</f>
        <v>Male</v>
      </c>
      <c r="E11">
        <v>52</v>
      </c>
      <c r="F11">
        <f t="shared" si="0"/>
        <v>52</v>
      </c>
      <c r="G11" t="s">
        <v>69</v>
      </c>
      <c r="H11" t="s">
        <v>70</v>
      </c>
      <c r="I11" t="s">
        <v>51</v>
      </c>
      <c r="J11">
        <v>22</v>
      </c>
      <c r="K11">
        <f t="shared" si="1"/>
        <v>22</v>
      </c>
      <c r="L11" t="s">
        <v>71</v>
      </c>
      <c r="M11" t="str">
        <f t="shared" si="2"/>
        <v>50</v>
      </c>
      <c r="O11" s="3" t="str">
        <f t="shared" si="3"/>
        <v>Not Specified</v>
      </c>
      <c r="P11">
        <v>1</v>
      </c>
      <c r="Q11" t="str" cm="1">
        <f t="array" ref="Q11">_xlfn.IFS(ISBLANK(P11),"Not Specified",OR(P11="N",P11=FALSE,P11="no",P11=0),"no",TRUE,"yes")</f>
        <v>yes</v>
      </c>
      <c r="S11" t="str">
        <f t="shared" si="4"/>
        <v>Not Specified</v>
      </c>
    </row>
    <row r="12" spans="1:19">
      <c r="A12" t="s">
        <v>72</v>
      </c>
      <c r="B12" t="s">
        <v>73</v>
      </c>
      <c r="C12" t="s">
        <v>55</v>
      </c>
      <c r="D12" t="str" cm="1">
        <f t="array" ref="D12">_xlfn.IFS(OR(LOWER(C12)="f",LOWER(C12)="female"),"Female",TRUE,"Male")</f>
        <v>Male</v>
      </c>
      <c r="E12">
        <v>40</v>
      </c>
      <c r="F12">
        <f t="shared" si="0"/>
        <v>40</v>
      </c>
      <c r="G12" t="s">
        <v>74</v>
      </c>
      <c r="H12" t="s">
        <v>29</v>
      </c>
      <c r="I12" t="s">
        <v>58</v>
      </c>
      <c r="J12">
        <v>17</v>
      </c>
      <c r="K12">
        <f t="shared" si="1"/>
        <v>17</v>
      </c>
      <c r="L12">
        <v>40</v>
      </c>
      <c r="M12" t="str">
        <f t="shared" si="2"/>
        <v>40</v>
      </c>
      <c r="N12">
        <v>3.6</v>
      </c>
      <c r="O12" s="3">
        <f t="shared" si="3"/>
        <v>3.6</v>
      </c>
      <c r="P12" t="s">
        <v>75</v>
      </c>
      <c r="Q12" t="str" cm="1">
        <f t="array" ref="Q12">_xlfn.IFS(ISBLANK(P12),"Not Specified",OR(P12="N",P12=FALSE,P12="no",P12=0),"no",TRUE,"yes")</f>
        <v>yes</v>
      </c>
      <c r="R12" s="5">
        <v>0.77</v>
      </c>
      <c r="S12">
        <f t="shared" si="4"/>
        <v>77</v>
      </c>
    </row>
    <row r="13" spans="1:19">
      <c r="A13" t="s">
        <v>76</v>
      </c>
      <c r="B13" t="s">
        <v>77</v>
      </c>
      <c r="C13" t="s">
        <v>27</v>
      </c>
      <c r="D13" t="str" cm="1">
        <f t="array" ref="D13">_xlfn.IFS(OR(LOWER(C13)="f",LOWER(C13)="female"),"Female",TRUE,"Male")</f>
        <v>Female</v>
      </c>
      <c r="E13">
        <v>55</v>
      </c>
      <c r="F13">
        <f t="shared" si="0"/>
        <v>55</v>
      </c>
      <c r="G13" t="s">
        <v>78</v>
      </c>
      <c r="H13" t="s">
        <v>79</v>
      </c>
      <c r="I13" t="s">
        <v>80</v>
      </c>
      <c r="J13">
        <v>15</v>
      </c>
      <c r="K13">
        <f t="shared" si="1"/>
        <v>15</v>
      </c>
      <c r="M13" t="str">
        <f t="shared" si="2"/>
        <v>Not Specified</v>
      </c>
      <c r="O13" s="3" t="str">
        <f t="shared" si="3"/>
        <v>Not Specified</v>
      </c>
      <c r="P13" t="s">
        <v>81</v>
      </c>
      <c r="Q13" t="str" cm="1">
        <f t="array" ref="Q13">_xlfn.IFS(ISBLANK(P13),"Not Specified",OR(P13="N",P13=FALSE,P13="no",P13=0),"no",TRUE,"yes")</f>
        <v>yes</v>
      </c>
      <c r="R13" s="5">
        <v>0.86</v>
      </c>
      <c r="S13">
        <f t="shared" si="4"/>
        <v>86</v>
      </c>
    </row>
    <row r="14" spans="1:19">
      <c r="A14" t="s">
        <v>82</v>
      </c>
      <c r="B14" t="s">
        <v>83</v>
      </c>
      <c r="C14" t="s">
        <v>84</v>
      </c>
      <c r="D14" t="str" cm="1">
        <f t="array" ref="D14">_xlfn.IFS(OR(LOWER(C14)="f",LOWER(C14)="female"),"Female",TRUE,"Male")</f>
        <v>Female</v>
      </c>
      <c r="E14">
        <v>57</v>
      </c>
      <c r="F14">
        <f t="shared" si="0"/>
        <v>57</v>
      </c>
      <c r="G14" t="s">
        <v>74</v>
      </c>
      <c r="H14" t="s">
        <v>29</v>
      </c>
      <c r="I14" t="s">
        <v>85</v>
      </c>
      <c r="J14">
        <v>18</v>
      </c>
      <c r="K14">
        <f t="shared" si="1"/>
        <v>18</v>
      </c>
      <c r="M14" t="str">
        <f t="shared" si="2"/>
        <v>Not Specified</v>
      </c>
      <c r="N14">
        <v>2</v>
      </c>
      <c r="O14" s="3">
        <f t="shared" si="3"/>
        <v>2</v>
      </c>
      <c r="P14">
        <v>0</v>
      </c>
      <c r="Q14" t="str" cm="1">
        <f t="array" ref="Q14">_xlfn.IFS(ISBLANK(P14),"Not Specified",OR(P14="N",P14=FALSE,P14="no",P14=0),"no",TRUE,"yes")</f>
        <v>no</v>
      </c>
      <c r="R14" s="5">
        <v>0.86</v>
      </c>
      <c r="S14">
        <f t="shared" si="4"/>
        <v>86</v>
      </c>
    </row>
    <row r="15" spans="1:19">
      <c r="A15" t="s">
        <v>86</v>
      </c>
      <c r="B15" t="s">
        <v>87</v>
      </c>
      <c r="C15" t="s">
        <v>68</v>
      </c>
      <c r="D15" t="str" cm="1">
        <f t="array" ref="D15">_xlfn.IFS(OR(LOWER(C15)="f",LOWER(C15)="female"),"Female",TRUE,"Male")</f>
        <v>Male</v>
      </c>
      <c r="E15">
        <v>38</v>
      </c>
      <c r="F15">
        <f t="shared" si="0"/>
        <v>38</v>
      </c>
      <c r="G15" t="s">
        <v>78</v>
      </c>
      <c r="H15" t="s">
        <v>79</v>
      </c>
      <c r="I15" t="s">
        <v>37</v>
      </c>
      <c r="J15">
        <v>20</v>
      </c>
      <c r="K15">
        <f t="shared" si="1"/>
        <v>20</v>
      </c>
      <c r="L15" t="s">
        <v>59</v>
      </c>
      <c r="M15" t="str">
        <f t="shared" si="2"/>
        <v> 75</v>
      </c>
      <c r="N15">
        <v>2.9</v>
      </c>
      <c r="O15" s="3">
        <f t="shared" si="3"/>
        <v>2.9</v>
      </c>
      <c r="P15">
        <v>1</v>
      </c>
      <c r="Q15" t="str" cm="1">
        <f t="array" ref="Q15">_xlfn.IFS(ISBLANK(P15),"Not Specified",OR(P15="N",P15=FALSE,P15="no",P15=0),"no",TRUE,"yes")</f>
        <v>yes</v>
      </c>
      <c r="R15" s="5">
        <v>0.93</v>
      </c>
      <c r="S15">
        <f t="shared" si="4"/>
        <v>93</v>
      </c>
    </row>
    <row r="16" spans="1:19">
      <c r="A16" t="s">
        <v>88</v>
      </c>
      <c r="B16" t="s">
        <v>89</v>
      </c>
      <c r="C16" t="s">
        <v>68</v>
      </c>
      <c r="D16" t="str" cm="1">
        <f t="array" ref="D16">_xlfn.IFS(OR(LOWER(C16)="f",LOWER(C16)="female"),"Female",TRUE,"Male")</f>
        <v>Male</v>
      </c>
      <c r="E16">
        <v>50</v>
      </c>
      <c r="F16">
        <f t="shared" si="0"/>
        <v>50</v>
      </c>
      <c r="G16" t="s">
        <v>35</v>
      </c>
      <c r="H16" t="s">
        <v>36</v>
      </c>
      <c r="I16" t="s">
        <v>58</v>
      </c>
      <c r="J16">
        <v>22</v>
      </c>
      <c r="K16">
        <f t="shared" si="1"/>
        <v>22</v>
      </c>
      <c r="L16">
        <v>75</v>
      </c>
      <c r="M16" t="str">
        <f t="shared" si="2"/>
        <v>75</v>
      </c>
      <c r="N16">
        <v>3.7</v>
      </c>
      <c r="O16" s="3">
        <f t="shared" si="3"/>
        <v>3.7</v>
      </c>
      <c r="P16">
        <v>1</v>
      </c>
      <c r="Q16" t="str" cm="1">
        <f t="array" ref="Q16">_xlfn.IFS(ISBLANK(P16),"Not Specified",OR(P16="N",P16=FALSE,P16="no",P16=0),"no",TRUE,"yes")</f>
        <v>yes</v>
      </c>
      <c r="R16" s="5">
        <v>0.7</v>
      </c>
      <c r="S16">
        <f t="shared" si="4"/>
        <v>70</v>
      </c>
    </row>
    <row r="17" spans="1:19">
      <c r="A17" t="s">
        <v>90</v>
      </c>
      <c r="B17" t="s">
        <v>91</v>
      </c>
      <c r="C17" t="s">
        <v>55</v>
      </c>
      <c r="D17" t="str" cm="1">
        <f t="array" ref="D17">_xlfn.IFS(OR(LOWER(C17)="f",LOWER(C17)="female"),"Female",TRUE,"Male")</f>
        <v>Male</v>
      </c>
      <c r="E17">
        <v>42</v>
      </c>
      <c r="F17">
        <f t="shared" si="0"/>
        <v>42</v>
      </c>
      <c r="G17" t="s">
        <v>92</v>
      </c>
      <c r="H17" t="s">
        <v>93</v>
      </c>
      <c r="I17" t="s">
        <v>58</v>
      </c>
      <c r="J17">
        <v>0</v>
      </c>
      <c r="K17">
        <f t="shared" si="1"/>
        <v>0</v>
      </c>
      <c r="L17" t="s">
        <v>52</v>
      </c>
      <c r="M17" t="str">
        <f t="shared" si="2"/>
        <v>30</v>
      </c>
      <c r="N17">
        <v>1.2</v>
      </c>
      <c r="O17" s="3">
        <f t="shared" si="3"/>
        <v>1.2</v>
      </c>
      <c r="P17">
        <v>0</v>
      </c>
      <c r="Q17" t="str" cm="1">
        <f t="array" ref="Q17">_xlfn.IFS(ISBLANK(P17),"Not Specified",OR(P17="N",P17=FALSE,P17="no",P17=0),"no",TRUE,"yes")</f>
        <v>no</v>
      </c>
      <c r="R17" s="5">
        <v>0.69</v>
      </c>
      <c r="S17">
        <f t="shared" si="4"/>
        <v>69</v>
      </c>
    </row>
    <row r="18" spans="1:19">
      <c r="A18" t="s">
        <v>94</v>
      </c>
      <c r="B18" t="s">
        <v>95</v>
      </c>
      <c r="C18" t="s">
        <v>84</v>
      </c>
      <c r="D18" t="str" cm="1">
        <f t="array" ref="D18">_xlfn.IFS(OR(LOWER(C18)="f",LOWER(C18)="female"),"Female",TRUE,"Male")</f>
        <v>Female</v>
      </c>
      <c r="E18">
        <v>39</v>
      </c>
      <c r="F18">
        <f t="shared" si="0"/>
        <v>39</v>
      </c>
      <c r="G18" t="s">
        <v>28</v>
      </c>
      <c r="H18" t="s">
        <v>29</v>
      </c>
      <c r="I18" t="s">
        <v>96</v>
      </c>
      <c r="J18">
        <v>13</v>
      </c>
      <c r="K18">
        <f t="shared" si="1"/>
        <v>13</v>
      </c>
      <c r="L18" t="s">
        <v>52</v>
      </c>
      <c r="M18" t="str">
        <f t="shared" si="2"/>
        <v>30</v>
      </c>
      <c r="N18">
        <v>2.5</v>
      </c>
      <c r="O18" s="3">
        <f t="shared" si="3"/>
        <v>2.5</v>
      </c>
      <c r="P18" t="b">
        <v>0</v>
      </c>
      <c r="Q18" t="str" cm="1">
        <f t="array" ref="Q18">_xlfn.IFS(ISBLANK(P18),"Not Specified",OR(P18="N",P18=FALSE,P18="no",P18=0),"no",TRUE,"yes")</f>
        <v>no</v>
      </c>
      <c r="R18" s="5">
        <v>0.6</v>
      </c>
      <c r="S18">
        <f t="shared" si="4"/>
        <v>60</v>
      </c>
    </row>
    <row r="19" spans="1:19">
      <c r="A19" t="s">
        <v>97</v>
      </c>
      <c r="B19" t="s">
        <v>98</v>
      </c>
      <c r="C19" t="s">
        <v>99</v>
      </c>
      <c r="D19" t="str" cm="1">
        <f t="array" ref="D19">_xlfn.IFS(OR(LOWER(C19)="f",LOWER(C19)="female"),"Female",TRUE,"Male")</f>
        <v>Male</v>
      </c>
      <c r="E19">
        <v>56</v>
      </c>
      <c r="F19">
        <f t="shared" si="0"/>
        <v>56</v>
      </c>
      <c r="G19" t="s">
        <v>100</v>
      </c>
      <c r="H19" t="s">
        <v>101</v>
      </c>
      <c r="I19" t="s">
        <v>24</v>
      </c>
      <c r="K19" t="str">
        <f t="shared" si="1"/>
        <v>Not Specified</v>
      </c>
      <c r="M19" t="str">
        <f t="shared" si="2"/>
        <v>Not Specified</v>
      </c>
      <c r="O19" s="3" t="str">
        <f t="shared" si="3"/>
        <v>Not Specified</v>
      </c>
      <c r="Q19" t="str" cm="1">
        <f t="array" ref="Q19">_xlfn.IFS(ISBLANK(P19),"Not Specified",OR(P19="N",P19=FALSE,P19="no",P19=0),"no",TRUE,"yes")</f>
        <v>Not Specified</v>
      </c>
      <c r="R19" s="5">
        <v>0.87</v>
      </c>
      <c r="S19">
        <f t="shared" si="4"/>
        <v>87</v>
      </c>
    </row>
    <row r="20" spans="1:19">
      <c r="A20" t="s">
        <v>102</v>
      </c>
      <c r="B20" t="s">
        <v>103</v>
      </c>
      <c r="C20" t="s">
        <v>104</v>
      </c>
      <c r="D20" t="str" cm="1">
        <f t="array" ref="D20">_xlfn.IFS(OR(LOWER(C20)="f",LOWER(C20)="female"),"Female",TRUE,"Male")</f>
        <v>Male</v>
      </c>
      <c r="E20">
        <v>56</v>
      </c>
      <c r="F20">
        <f t="shared" si="0"/>
        <v>56</v>
      </c>
      <c r="G20" t="s">
        <v>65</v>
      </c>
      <c r="H20" t="s">
        <v>29</v>
      </c>
      <c r="I20" t="s">
        <v>80</v>
      </c>
      <c r="J20">
        <v>31</v>
      </c>
      <c r="K20">
        <f t="shared" si="1"/>
        <v>31</v>
      </c>
      <c r="L20" t="s">
        <v>105</v>
      </c>
      <c r="M20" t="str">
        <f t="shared" si="2"/>
        <v> 50</v>
      </c>
      <c r="N20">
        <v>1.1</v>
      </c>
      <c r="O20" s="3">
        <f t="shared" si="3"/>
        <v>1.1</v>
      </c>
      <c r="P20" t="s">
        <v>38</v>
      </c>
      <c r="Q20" t="str" cm="1">
        <f t="array" ref="Q20">_xlfn.IFS(ISBLANK(P20),"Not Specified",OR(P20="N",P20=FALSE,P20="no",P20=0),"no",TRUE,"yes")</f>
        <v>no</v>
      </c>
      <c r="R20" s="5">
        <v>0.75</v>
      </c>
      <c r="S20">
        <f t="shared" si="4"/>
        <v>75</v>
      </c>
    </row>
    <row r="21" spans="1:19">
      <c r="A21" t="s">
        <v>106</v>
      </c>
      <c r="B21" t="s">
        <v>107</v>
      </c>
      <c r="C21" t="s">
        <v>104</v>
      </c>
      <c r="D21" t="str" cm="1">
        <f t="array" ref="D21">_xlfn.IFS(OR(LOWER(C21)="f",LOWER(C21)="female"),"Female",TRUE,"Male")</f>
        <v>Male</v>
      </c>
      <c r="E21">
        <v>57</v>
      </c>
      <c r="F21">
        <f t="shared" si="0"/>
        <v>57</v>
      </c>
      <c r="G21" t="s">
        <v>22</v>
      </c>
      <c r="H21" t="s">
        <v>23</v>
      </c>
      <c r="I21" t="s">
        <v>42</v>
      </c>
      <c r="J21">
        <v>3</v>
      </c>
      <c r="K21">
        <f t="shared" si="1"/>
        <v>3</v>
      </c>
      <c r="L21" t="s">
        <v>31</v>
      </c>
      <c r="M21" t="str">
        <f t="shared" si="2"/>
        <v> 100</v>
      </c>
      <c r="N21">
        <v>1.8</v>
      </c>
      <c r="O21" s="3">
        <f t="shared" si="3"/>
        <v>1.8</v>
      </c>
      <c r="P21" t="s">
        <v>75</v>
      </c>
      <c r="Q21" t="str" cm="1">
        <f t="array" ref="Q21">_xlfn.IFS(ISBLANK(P21),"Not Specified",OR(P21="N",P21=FALSE,P21="no",P21=0),"no",TRUE,"yes")</f>
        <v>yes</v>
      </c>
      <c r="R21" s="5">
        <v>0.68</v>
      </c>
      <c r="S21">
        <f t="shared" si="4"/>
        <v>68</v>
      </c>
    </row>
    <row r="22" spans="1:19">
      <c r="A22" t="s">
        <v>108</v>
      </c>
      <c r="B22" t="s">
        <v>109</v>
      </c>
      <c r="C22" t="s">
        <v>104</v>
      </c>
      <c r="D22" t="str" cm="1">
        <f t="array" ref="D22">_xlfn.IFS(OR(LOWER(C22)="f",LOWER(C22)="female"),"Female",TRUE,"Male")</f>
        <v>Male</v>
      </c>
      <c r="F22" t="str">
        <f t="shared" si="0"/>
        <v>Not Specified</v>
      </c>
      <c r="G22" t="s">
        <v>56</v>
      </c>
      <c r="H22" t="s">
        <v>57</v>
      </c>
      <c r="I22" t="s">
        <v>51</v>
      </c>
      <c r="J22">
        <v>9</v>
      </c>
      <c r="K22">
        <f t="shared" si="1"/>
        <v>9</v>
      </c>
      <c r="L22">
        <v>50</v>
      </c>
      <c r="M22" t="str">
        <f t="shared" si="2"/>
        <v>50</v>
      </c>
      <c r="N22">
        <v>1.8</v>
      </c>
      <c r="O22" s="3">
        <f t="shared" si="3"/>
        <v>1.8</v>
      </c>
      <c r="P22" t="b">
        <v>0</v>
      </c>
      <c r="Q22" t="str" cm="1">
        <f t="array" ref="Q22">_xlfn.IFS(ISBLANK(P22),"Not Specified",OR(P22="N",P22=FALSE,P22="no",P22=0),"no",TRUE,"yes")</f>
        <v>no</v>
      </c>
      <c r="R22" s="5">
        <v>0.65</v>
      </c>
      <c r="S22">
        <f t="shared" si="4"/>
        <v>65</v>
      </c>
    </row>
    <row r="23" spans="1:19">
      <c r="A23" t="s">
        <v>110</v>
      </c>
      <c r="B23" t="s">
        <v>111</v>
      </c>
      <c r="C23" t="s">
        <v>55</v>
      </c>
      <c r="D23" t="str" cm="1">
        <f t="array" ref="D23">_xlfn.IFS(OR(LOWER(C23)="f",LOWER(C23)="female"),"Female",TRUE,"Male")</f>
        <v>Male</v>
      </c>
      <c r="E23">
        <v>51</v>
      </c>
      <c r="F23">
        <f t="shared" si="0"/>
        <v>51</v>
      </c>
      <c r="G23" t="s">
        <v>92</v>
      </c>
      <c r="H23" t="s">
        <v>93</v>
      </c>
      <c r="I23" t="s">
        <v>96</v>
      </c>
      <c r="K23" t="str">
        <f t="shared" si="1"/>
        <v>Not Specified</v>
      </c>
      <c r="M23" t="str">
        <f t="shared" si="2"/>
        <v>Not Specified</v>
      </c>
      <c r="N23">
        <v>2.4</v>
      </c>
      <c r="O23" s="3">
        <f t="shared" si="3"/>
        <v>2.4</v>
      </c>
      <c r="P23" t="s">
        <v>38</v>
      </c>
      <c r="Q23" t="str" cm="1">
        <f t="array" ref="Q23">_xlfn.IFS(ISBLANK(P23),"Not Specified",OR(P23="N",P23=FALSE,P23="no",P23=0),"no",TRUE,"yes")</f>
        <v>no</v>
      </c>
      <c r="R23" s="5">
        <v>0.69</v>
      </c>
      <c r="S23">
        <f t="shared" si="4"/>
        <v>69</v>
      </c>
    </row>
    <row r="24" spans="1:19">
      <c r="A24" t="s">
        <v>112</v>
      </c>
      <c r="B24" t="s">
        <v>113</v>
      </c>
      <c r="C24" t="s">
        <v>55</v>
      </c>
      <c r="D24" t="str" cm="1">
        <f t="array" ref="D24">_xlfn.IFS(OR(LOWER(C24)="f",LOWER(C24)="female"),"Female",TRUE,"Male")</f>
        <v>Male</v>
      </c>
      <c r="E24">
        <v>51</v>
      </c>
      <c r="F24">
        <f t="shared" si="0"/>
        <v>51</v>
      </c>
      <c r="G24" t="s">
        <v>114</v>
      </c>
      <c r="H24" t="s">
        <v>115</v>
      </c>
      <c r="I24" t="s">
        <v>85</v>
      </c>
      <c r="J24">
        <v>21</v>
      </c>
      <c r="K24">
        <f t="shared" si="1"/>
        <v>21</v>
      </c>
      <c r="L24" t="s">
        <v>116</v>
      </c>
      <c r="M24" t="str">
        <f t="shared" si="2"/>
        <v> 30</v>
      </c>
      <c r="N24">
        <v>4.7</v>
      </c>
      <c r="O24" s="3">
        <f t="shared" si="3"/>
        <v>4.7</v>
      </c>
      <c r="P24" t="s">
        <v>38</v>
      </c>
      <c r="Q24" t="str" cm="1">
        <f t="array" ref="Q24">_xlfn.IFS(ISBLANK(P24),"Not Specified",OR(P24="N",P24=FALSE,P24="no",P24=0),"no",TRUE,"yes")</f>
        <v>no</v>
      </c>
      <c r="S24" t="str">
        <f t="shared" si="4"/>
        <v>Not Specified</v>
      </c>
    </row>
    <row r="25" spans="1:19">
      <c r="A25" t="s">
        <v>117</v>
      </c>
      <c r="B25" t="s">
        <v>118</v>
      </c>
      <c r="C25" t="s">
        <v>46</v>
      </c>
      <c r="D25" t="str" cm="1">
        <f t="array" ref="D25">_xlfn.IFS(OR(LOWER(C25)="f",LOWER(C25)="female"),"Female",TRUE,"Male")</f>
        <v>Female</v>
      </c>
      <c r="E25">
        <v>51</v>
      </c>
      <c r="F25">
        <f t="shared" si="0"/>
        <v>51</v>
      </c>
      <c r="G25" t="s">
        <v>119</v>
      </c>
      <c r="H25" t="s">
        <v>120</v>
      </c>
      <c r="I25" t="s">
        <v>121</v>
      </c>
      <c r="J25">
        <v>15</v>
      </c>
      <c r="K25">
        <f t="shared" si="1"/>
        <v>15</v>
      </c>
      <c r="L25" t="s">
        <v>71</v>
      </c>
      <c r="M25" t="str">
        <f t="shared" si="2"/>
        <v>50</v>
      </c>
      <c r="N25">
        <v>1.3</v>
      </c>
      <c r="O25" s="3">
        <f t="shared" si="3"/>
        <v>1.3</v>
      </c>
      <c r="P25">
        <v>1</v>
      </c>
      <c r="Q25" t="str" cm="1">
        <f t="array" ref="Q25">_xlfn.IFS(ISBLANK(P25),"Not Specified",OR(P25="N",P25=FALSE,P25="no",P25=0),"no",TRUE,"yes")</f>
        <v>yes</v>
      </c>
      <c r="R25" s="5">
        <v>1</v>
      </c>
      <c r="S25">
        <f t="shared" si="4"/>
        <v>100</v>
      </c>
    </row>
    <row r="26" spans="1:19">
      <c r="A26" t="s">
        <v>122</v>
      </c>
      <c r="B26" t="s">
        <v>123</v>
      </c>
      <c r="C26" t="s">
        <v>21</v>
      </c>
      <c r="D26" t="str" cm="1">
        <f t="array" ref="D26">_xlfn.IFS(OR(LOWER(C26)="f",LOWER(C26)="female"),"Female",TRUE,"Male")</f>
        <v>Female</v>
      </c>
      <c r="E26">
        <v>54</v>
      </c>
      <c r="F26">
        <f t="shared" si="0"/>
        <v>54</v>
      </c>
      <c r="G26" t="s">
        <v>56</v>
      </c>
      <c r="H26" t="s">
        <v>57</v>
      </c>
      <c r="I26" t="s">
        <v>121</v>
      </c>
      <c r="J26">
        <v>13</v>
      </c>
      <c r="K26">
        <f t="shared" si="1"/>
        <v>13</v>
      </c>
      <c r="L26">
        <v>75</v>
      </c>
      <c r="M26" t="str">
        <f t="shared" si="2"/>
        <v>75</v>
      </c>
      <c r="N26">
        <v>2.9</v>
      </c>
      <c r="O26" s="3">
        <f t="shared" si="3"/>
        <v>2.9</v>
      </c>
      <c r="Q26" t="str" cm="1">
        <f t="array" ref="Q26">_xlfn.IFS(ISBLANK(P26),"Not Specified",OR(P26="N",P26=FALSE,P26="no",P26=0),"no",TRUE,"yes")</f>
        <v>Not Specified</v>
      </c>
      <c r="R26">
        <v>92</v>
      </c>
      <c r="S26">
        <f t="shared" si="4"/>
        <v>92</v>
      </c>
    </row>
    <row r="27" spans="1:19">
      <c r="A27" t="s">
        <v>124</v>
      </c>
      <c r="B27" t="s">
        <v>125</v>
      </c>
      <c r="C27" t="s">
        <v>27</v>
      </c>
      <c r="D27" t="str" cm="1">
        <f t="array" ref="D27">_xlfn.IFS(OR(LOWER(C27)="f",LOWER(C27)="female"),"Female",TRUE,"Male")</f>
        <v>Female</v>
      </c>
      <c r="E27">
        <v>22</v>
      </c>
      <c r="F27">
        <f t="shared" si="0"/>
        <v>22</v>
      </c>
      <c r="G27" t="s">
        <v>119</v>
      </c>
      <c r="H27" t="s">
        <v>120</v>
      </c>
      <c r="I27" t="s">
        <v>96</v>
      </c>
      <c r="J27">
        <v>0</v>
      </c>
      <c r="K27">
        <f t="shared" si="1"/>
        <v>0</v>
      </c>
      <c r="L27" t="s">
        <v>116</v>
      </c>
      <c r="M27" t="str">
        <f t="shared" si="2"/>
        <v> 30</v>
      </c>
      <c r="N27">
        <v>1.2</v>
      </c>
      <c r="O27" s="3">
        <f t="shared" si="3"/>
        <v>1.2</v>
      </c>
      <c r="P27">
        <v>1</v>
      </c>
      <c r="Q27" t="str" cm="1">
        <f t="array" ref="Q27">_xlfn.IFS(ISBLANK(P27),"Not Specified",OR(P27="N",P27=FALSE,P27="no",P27=0),"no",TRUE,"yes")</f>
        <v>yes</v>
      </c>
      <c r="R27" s="5">
        <v>0.7</v>
      </c>
      <c r="S27">
        <f t="shared" si="4"/>
        <v>70</v>
      </c>
    </row>
    <row r="28" spans="1:19">
      <c r="A28" t="s">
        <v>126</v>
      </c>
      <c r="B28" t="s">
        <v>127</v>
      </c>
      <c r="C28" t="s">
        <v>46</v>
      </c>
      <c r="D28" t="str" cm="1">
        <f t="array" ref="D28">_xlfn.IFS(OR(LOWER(C28)="f",LOWER(C28)="female"),"Female",TRUE,"Male")</f>
        <v>Female</v>
      </c>
      <c r="E28">
        <v>34</v>
      </c>
      <c r="F28">
        <f t="shared" si="0"/>
        <v>34</v>
      </c>
      <c r="G28" t="s">
        <v>92</v>
      </c>
      <c r="H28" t="s">
        <v>93</v>
      </c>
      <c r="I28" t="s">
        <v>24</v>
      </c>
      <c r="J28">
        <v>8</v>
      </c>
      <c r="K28">
        <f t="shared" si="1"/>
        <v>8</v>
      </c>
      <c r="L28" t="s">
        <v>128</v>
      </c>
      <c r="M28" t="str">
        <f t="shared" si="2"/>
        <v>20</v>
      </c>
      <c r="N28">
        <v>0</v>
      </c>
      <c r="O28" s="3" t="str">
        <f t="shared" si="3"/>
        <v>Not Specified</v>
      </c>
      <c r="P28" t="b">
        <v>1</v>
      </c>
      <c r="Q28" t="str" cm="1">
        <f t="array" ref="Q28">_xlfn.IFS(ISBLANK(P28),"Not Specified",OR(P28="N",P28=FALSE,P28="no",P28=0),"no",TRUE,"yes")</f>
        <v>yes</v>
      </c>
      <c r="R28" s="5">
        <v>0.89</v>
      </c>
      <c r="S28">
        <f t="shared" si="4"/>
        <v>89</v>
      </c>
    </row>
    <row r="29" spans="1:19">
      <c r="A29" t="s">
        <v>129</v>
      </c>
      <c r="B29" t="s">
        <v>130</v>
      </c>
      <c r="C29" t="s">
        <v>84</v>
      </c>
      <c r="D29" t="str" cm="1">
        <f t="array" ref="D29">_xlfn.IFS(OR(LOWER(C29)="f",LOWER(C29)="female"),"Female",TRUE,"Male")</f>
        <v>Female</v>
      </c>
      <c r="E29">
        <v>36</v>
      </c>
      <c r="F29">
        <f t="shared" si="0"/>
        <v>36</v>
      </c>
      <c r="G29" t="s">
        <v>131</v>
      </c>
      <c r="H29" t="s">
        <v>132</v>
      </c>
      <c r="I29" t="s">
        <v>37</v>
      </c>
      <c r="J29">
        <v>11</v>
      </c>
      <c r="K29">
        <f t="shared" si="1"/>
        <v>11</v>
      </c>
      <c r="M29" t="str">
        <f t="shared" si="2"/>
        <v>Not Specified</v>
      </c>
      <c r="N29">
        <v>1.8</v>
      </c>
      <c r="O29" s="3">
        <f t="shared" si="3"/>
        <v>1.8</v>
      </c>
      <c r="P29" t="s">
        <v>81</v>
      </c>
      <c r="Q29" t="str" cm="1">
        <f t="array" ref="Q29">_xlfn.IFS(ISBLANK(P29),"Not Specified",OR(P29="N",P29=FALSE,P29="no",P29=0),"no",TRUE,"yes")</f>
        <v>yes</v>
      </c>
      <c r="R29" s="5">
        <v>0.86</v>
      </c>
      <c r="S29">
        <f t="shared" si="4"/>
        <v>86</v>
      </c>
    </row>
    <row r="30" spans="1:19">
      <c r="A30" t="s">
        <v>133</v>
      </c>
      <c r="B30" t="s">
        <v>134</v>
      </c>
      <c r="C30" t="s">
        <v>46</v>
      </c>
      <c r="D30" t="str" cm="1">
        <f t="array" ref="D30">_xlfn.IFS(OR(LOWER(C30)="f",LOWER(C30)="female"),"Female",TRUE,"Male")</f>
        <v>Female</v>
      </c>
      <c r="E30">
        <v>47</v>
      </c>
      <c r="F30">
        <f t="shared" si="0"/>
        <v>47</v>
      </c>
      <c r="G30" t="s">
        <v>135</v>
      </c>
      <c r="H30" t="s">
        <v>29</v>
      </c>
      <c r="I30" t="s">
        <v>51</v>
      </c>
      <c r="J30">
        <v>22</v>
      </c>
      <c r="K30">
        <f t="shared" si="1"/>
        <v>22</v>
      </c>
      <c r="L30">
        <v>30</v>
      </c>
      <c r="M30" t="str">
        <f t="shared" si="2"/>
        <v>30</v>
      </c>
      <c r="N30">
        <v>1.3</v>
      </c>
      <c r="O30" s="3">
        <f t="shared" si="3"/>
        <v>1.3</v>
      </c>
      <c r="P30">
        <v>0</v>
      </c>
      <c r="Q30" t="str" cm="1">
        <f t="array" ref="Q30">_xlfn.IFS(ISBLANK(P30),"Not Specified",OR(P30="N",P30=FALSE,P30="no",P30=0),"no",TRUE,"yes")</f>
        <v>no</v>
      </c>
      <c r="R30" s="5">
        <v>0.62</v>
      </c>
      <c r="S30">
        <f t="shared" si="4"/>
        <v>62</v>
      </c>
    </row>
    <row r="31" spans="1:19">
      <c r="A31" t="s">
        <v>136</v>
      </c>
      <c r="B31" t="s">
        <v>137</v>
      </c>
      <c r="C31" t="s">
        <v>27</v>
      </c>
      <c r="D31" t="str" cm="1">
        <f t="array" ref="D31">_xlfn.IFS(OR(LOWER(C31)="f",LOWER(C31)="female"),"Female",TRUE,"Male")</f>
        <v>Female</v>
      </c>
      <c r="E31">
        <v>41</v>
      </c>
      <c r="F31">
        <f t="shared" si="0"/>
        <v>41</v>
      </c>
      <c r="G31" t="s">
        <v>49</v>
      </c>
      <c r="H31" t="s">
        <v>50</v>
      </c>
      <c r="I31" t="s">
        <v>58</v>
      </c>
      <c r="J31">
        <v>14</v>
      </c>
      <c r="K31">
        <f t="shared" si="1"/>
        <v>14</v>
      </c>
      <c r="L31" t="s">
        <v>59</v>
      </c>
      <c r="M31" t="str">
        <f t="shared" si="2"/>
        <v> 75</v>
      </c>
      <c r="N31">
        <v>1.2</v>
      </c>
      <c r="O31" s="3">
        <f t="shared" si="3"/>
        <v>1.2</v>
      </c>
      <c r="P31">
        <v>0</v>
      </c>
      <c r="Q31" t="str" cm="1">
        <f t="array" ref="Q31">_xlfn.IFS(ISBLANK(P31),"Not Specified",OR(P31="N",P31=FALSE,P31="no",P31=0),"no",TRUE,"yes")</f>
        <v>no</v>
      </c>
      <c r="S31" t="str">
        <f t="shared" si="4"/>
        <v>Not Specified</v>
      </c>
    </row>
    <row r="32" spans="1:19">
      <c r="A32" t="s">
        <v>138</v>
      </c>
      <c r="B32" t="s">
        <v>139</v>
      </c>
      <c r="C32" t="s">
        <v>104</v>
      </c>
      <c r="D32" t="str" cm="1">
        <f t="array" ref="D32">_xlfn.IFS(OR(LOWER(C32)="f",LOWER(C32)="female"),"Female",TRUE,"Male")</f>
        <v>Male</v>
      </c>
      <c r="E32">
        <v>22</v>
      </c>
      <c r="F32">
        <f t="shared" si="0"/>
        <v>22</v>
      </c>
      <c r="G32" t="s">
        <v>49</v>
      </c>
      <c r="H32" t="s">
        <v>50</v>
      </c>
      <c r="I32" t="s">
        <v>96</v>
      </c>
      <c r="J32">
        <v>4</v>
      </c>
      <c r="K32">
        <f t="shared" si="1"/>
        <v>4</v>
      </c>
      <c r="M32" t="str">
        <f t="shared" si="2"/>
        <v>Not Specified</v>
      </c>
      <c r="N32">
        <v>1</v>
      </c>
      <c r="O32" s="3">
        <f t="shared" si="3"/>
        <v>1</v>
      </c>
      <c r="P32" t="s">
        <v>75</v>
      </c>
      <c r="Q32" t="str" cm="1">
        <f t="array" ref="Q32">_xlfn.IFS(ISBLANK(P32),"Not Specified",OR(P32="N",P32=FALSE,P32="no",P32=0),"no",TRUE,"yes")</f>
        <v>yes</v>
      </c>
      <c r="S32" t="str">
        <f t="shared" si="4"/>
        <v>Not Specified</v>
      </c>
    </row>
    <row r="33" spans="1:19">
      <c r="A33" t="s">
        <v>140</v>
      </c>
      <c r="B33" t="s">
        <v>141</v>
      </c>
      <c r="C33" t="s">
        <v>104</v>
      </c>
      <c r="D33" t="str" cm="1">
        <f t="array" ref="D33">_xlfn.IFS(OR(LOWER(C33)="f",LOWER(C33)="female"),"Female",TRUE,"Male")</f>
        <v>Male</v>
      </c>
      <c r="E33">
        <v>38</v>
      </c>
      <c r="F33">
        <f t="shared" si="0"/>
        <v>38</v>
      </c>
      <c r="G33" t="s">
        <v>142</v>
      </c>
      <c r="H33" t="s">
        <v>143</v>
      </c>
      <c r="I33" t="s">
        <v>121</v>
      </c>
      <c r="J33">
        <v>19</v>
      </c>
      <c r="K33">
        <f t="shared" si="1"/>
        <v>19</v>
      </c>
      <c r="L33" t="s">
        <v>31</v>
      </c>
      <c r="M33" t="str">
        <f t="shared" si="2"/>
        <v> 100</v>
      </c>
      <c r="N33">
        <v>4.2</v>
      </c>
      <c r="O33" s="3">
        <f t="shared" si="3"/>
        <v>4.2</v>
      </c>
      <c r="P33" t="s">
        <v>38</v>
      </c>
      <c r="Q33" t="str" cm="1">
        <f t="array" ref="Q33">_xlfn.IFS(ISBLANK(P33),"Not Specified",OR(P33="N",P33=FALSE,P33="no",P33=0),"no",TRUE,"yes")</f>
        <v>no</v>
      </c>
      <c r="R33" s="5">
        <v>0.68</v>
      </c>
      <c r="S33">
        <f t="shared" si="4"/>
        <v>68</v>
      </c>
    </row>
    <row r="34" spans="1:19">
      <c r="A34" t="s">
        <v>144</v>
      </c>
      <c r="B34" t="s">
        <v>145</v>
      </c>
      <c r="C34" t="s">
        <v>99</v>
      </c>
      <c r="D34" t="str" cm="1">
        <f t="array" ref="D34">_xlfn.IFS(OR(LOWER(C34)="f",LOWER(C34)="female"),"Female",TRUE,"Male")</f>
        <v>Male</v>
      </c>
      <c r="E34">
        <v>46</v>
      </c>
      <c r="F34">
        <f t="shared" si="0"/>
        <v>46</v>
      </c>
      <c r="G34" t="s">
        <v>146</v>
      </c>
      <c r="H34" t="s">
        <v>147</v>
      </c>
      <c r="I34" t="s">
        <v>51</v>
      </c>
      <c r="J34">
        <v>9</v>
      </c>
      <c r="K34">
        <f t="shared" si="1"/>
        <v>9</v>
      </c>
      <c r="L34">
        <v>20</v>
      </c>
      <c r="M34" t="str">
        <f t="shared" si="2"/>
        <v>20</v>
      </c>
      <c r="N34">
        <v>1.4</v>
      </c>
      <c r="O34" s="3">
        <f t="shared" si="3"/>
        <v>1.4</v>
      </c>
      <c r="P34" t="b">
        <v>1</v>
      </c>
      <c r="Q34" t="str" cm="1">
        <f t="array" ref="Q34">_xlfn.IFS(ISBLANK(P34),"Not Specified",OR(P34="N",P34=FALSE,P34="no",P34=0),"no",TRUE,"yes")</f>
        <v>yes</v>
      </c>
      <c r="R34" s="5">
        <v>0.76</v>
      </c>
      <c r="S34">
        <f t="shared" si="4"/>
        <v>76</v>
      </c>
    </row>
    <row r="35" spans="1:19">
      <c r="A35" t="s">
        <v>148</v>
      </c>
      <c r="B35" t="s">
        <v>149</v>
      </c>
      <c r="C35" t="s">
        <v>34</v>
      </c>
      <c r="D35" t="str" cm="1">
        <f t="array" ref="D35">_xlfn.IFS(OR(LOWER(C35)="f",LOWER(C35)="female"),"Female",TRUE,"Male")</f>
        <v>Male</v>
      </c>
      <c r="F35" t="str">
        <f t="shared" si="0"/>
        <v>Not Specified</v>
      </c>
      <c r="G35" t="s">
        <v>119</v>
      </c>
      <c r="H35" t="s">
        <v>120</v>
      </c>
      <c r="I35" t="s">
        <v>51</v>
      </c>
      <c r="J35">
        <v>9</v>
      </c>
      <c r="K35">
        <f t="shared" si="1"/>
        <v>9</v>
      </c>
      <c r="L35">
        <v>40</v>
      </c>
      <c r="M35" t="str">
        <f t="shared" si="2"/>
        <v>40</v>
      </c>
      <c r="N35">
        <v>2.4</v>
      </c>
      <c r="O35" s="3">
        <f t="shared" si="3"/>
        <v>2.4</v>
      </c>
      <c r="P35" t="s">
        <v>75</v>
      </c>
      <c r="Q35" t="str" cm="1">
        <f t="array" ref="Q35">_xlfn.IFS(ISBLANK(P35),"Not Specified",OR(P35="N",P35=FALSE,P35="no",P35=0),"no",TRUE,"yes")</f>
        <v>yes</v>
      </c>
      <c r="R35">
        <v>82</v>
      </c>
      <c r="S35">
        <f t="shared" si="4"/>
        <v>82</v>
      </c>
    </row>
    <row r="36" spans="1:19">
      <c r="A36" t="s">
        <v>150</v>
      </c>
      <c r="B36" t="s">
        <v>151</v>
      </c>
      <c r="C36" t="s">
        <v>27</v>
      </c>
      <c r="D36" t="str" cm="1">
        <f t="array" ref="D36">_xlfn.IFS(OR(LOWER(C36)="f",LOWER(C36)="female"),"Female",TRUE,"Male")</f>
        <v>Female</v>
      </c>
      <c r="E36">
        <v>54</v>
      </c>
      <c r="F36">
        <f t="shared" si="0"/>
        <v>54</v>
      </c>
      <c r="G36" t="s">
        <v>65</v>
      </c>
      <c r="H36" t="s">
        <v>29</v>
      </c>
      <c r="I36" t="s">
        <v>42</v>
      </c>
      <c r="J36">
        <v>32</v>
      </c>
      <c r="K36">
        <f t="shared" si="1"/>
        <v>32</v>
      </c>
      <c r="L36">
        <v>75</v>
      </c>
      <c r="M36" t="str">
        <f t="shared" si="2"/>
        <v>75</v>
      </c>
      <c r="N36">
        <v>1</v>
      </c>
      <c r="O36" s="3">
        <f t="shared" si="3"/>
        <v>1</v>
      </c>
      <c r="P36" t="s">
        <v>75</v>
      </c>
      <c r="Q36" t="str" cm="1">
        <f t="array" ref="Q36">_xlfn.IFS(ISBLANK(P36),"Not Specified",OR(P36="N",P36=FALSE,P36="no",P36=0),"no",TRUE,"yes")</f>
        <v>yes</v>
      </c>
      <c r="R36" s="5">
        <v>0.81</v>
      </c>
      <c r="S36">
        <f t="shared" si="4"/>
        <v>81</v>
      </c>
    </row>
    <row r="37" spans="1:19">
      <c r="A37" t="s">
        <v>152</v>
      </c>
      <c r="B37" t="s">
        <v>153</v>
      </c>
      <c r="C37" t="s">
        <v>46</v>
      </c>
      <c r="D37" t="str" cm="1">
        <f t="array" ref="D37">_xlfn.IFS(OR(LOWER(C37)="f",LOWER(C37)="female"),"Female",TRUE,"Male")</f>
        <v>Female</v>
      </c>
      <c r="E37">
        <v>52</v>
      </c>
      <c r="F37">
        <f t="shared" si="0"/>
        <v>52</v>
      </c>
      <c r="G37" t="s">
        <v>119</v>
      </c>
      <c r="H37" t="s">
        <v>120</v>
      </c>
      <c r="I37" t="s">
        <v>42</v>
      </c>
      <c r="J37">
        <v>28</v>
      </c>
      <c r="K37">
        <f t="shared" si="1"/>
        <v>28</v>
      </c>
      <c r="L37" t="s">
        <v>128</v>
      </c>
      <c r="M37" t="str">
        <f t="shared" si="2"/>
        <v>20</v>
      </c>
      <c r="O37" s="3" t="str">
        <f t="shared" si="3"/>
        <v>Not Specified</v>
      </c>
      <c r="P37">
        <v>0</v>
      </c>
      <c r="Q37" t="str" cm="1">
        <f t="array" ref="Q37">_xlfn.IFS(ISBLANK(P37),"Not Specified",OR(P37="N",P37=FALSE,P37="no",P37=0),"no",TRUE,"yes")</f>
        <v>no</v>
      </c>
      <c r="S37" t="str">
        <f t="shared" si="4"/>
        <v>Not Specified</v>
      </c>
    </row>
    <row r="38" spans="1:19">
      <c r="A38" t="s">
        <v>154</v>
      </c>
      <c r="B38" t="s">
        <v>155</v>
      </c>
      <c r="C38" t="s">
        <v>21</v>
      </c>
      <c r="D38" t="str" cm="1">
        <f t="array" ref="D38">_xlfn.IFS(OR(LOWER(C38)="f",LOWER(C38)="female"),"Female",TRUE,"Male")</f>
        <v>Female</v>
      </c>
      <c r="E38">
        <v>42</v>
      </c>
      <c r="F38">
        <f t="shared" si="0"/>
        <v>42</v>
      </c>
      <c r="G38" t="s">
        <v>92</v>
      </c>
      <c r="H38" t="s">
        <v>93</v>
      </c>
      <c r="I38" t="s">
        <v>30</v>
      </c>
      <c r="J38">
        <v>6</v>
      </c>
      <c r="K38">
        <f t="shared" si="1"/>
        <v>6</v>
      </c>
      <c r="L38">
        <v>40</v>
      </c>
      <c r="M38" t="str">
        <f t="shared" si="2"/>
        <v>40</v>
      </c>
      <c r="O38" s="3" t="str">
        <f t="shared" si="3"/>
        <v>Not Specified</v>
      </c>
      <c r="P38">
        <v>0</v>
      </c>
      <c r="Q38" t="str" cm="1">
        <f t="array" ref="Q38">_xlfn.IFS(ISBLANK(P38),"Not Specified",OR(P38="N",P38=FALSE,P38="no",P38=0),"no",TRUE,"yes")</f>
        <v>no</v>
      </c>
      <c r="R38" s="5">
        <v>0.63</v>
      </c>
      <c r="S38">
        <f t="shared" si="4"/>
        <v>63</v>
      </c>
    </row>
    <row r="39" spans="1:19">
      <c r="A39" t="s">
        <v>156</v>
      </c>
      <c r="B39" t="s">
        <v>157</v>
      </c>
      <c r="C39" t="s">
        <v>41</v>
      </c>
      <c r="D39" t="str" cm="1">
        <f t="array" ref="D39">_xlfn.IFS(OR(LOWER(C39)="f",LOWER(C39)="female"),"Female",TRUE,"Male")</f>
        <v>Female</v>
      </c>
      <c r="E39">
        <v>29</v>
      </c>
      <c r="F39">
        <f t="shared" si="0"/>
        <v>29</v>
      </c>
      <c r="G39" t="s">
        <v>49</v>
      </c>
      <c r="H39" t="s">
        <v>50</v>
      </c>
      <c r="I39" t="s">
        <v>37</v>
      </c>
      <c r="J39">
        <v>10</v>
      </c>
      <c r="K39">
        <f t="shared" si="1"/>
        <v>10</v>
      </c>
      <c r="L39">
        <v>40</v>
      </c>
      <c r="M39" t="str">
        <f t="shared" si="2"/>
        <v>40</v>
      </c>
      <c r="N39">
        <v>2.2</v>
      </c>
      <c r="O39" s="3">
        <f t="shared" si="3"/>
        <v>2.2</v>
      </c>
      <c r="P39" t="s">
        <v>38</v>
      </c>
      <c r="Q39" t="str" cm="1">
        <f t="array" ref="Q39">_xlfn.IFS(ISBLANK(P39),"Not Specified",OR(P39="N",P39=FALSE,P39="no",P39=0),"no",TRUE,"yes")</f>
        <v>no</v>
      </c>
      <c r="R39" s="5">
        <v>0.67</v>
      </c>
      <c r="S39">
        <f t="shared" si="4"/>
        <v>67</v>
      </c>
    </row>
    <row r="40" spans="1:19">
      <c r="A40" t="s">
        <v>158</v>
      </c>
      <c r="B40" t="s">
        <v>159</v>
      </c>
      <c r="C40" t="s">
        <v>41</v>
      </c>
      <c r="D40" t="str" cm="1">
        <f t="array" ref="D40">_xlfn.IFS(OR(LOWER(C40)="f",LOWER(C40)="female"),"Female",TRUE,"Male")</f>
        <v>Female</v>
      </c>
      <c r="E40">
        <v>42</v>
      </c>
      <c r="F40">
        <f t="shared" si="0"/>
        <v>42</v>
      </c>
      <c r="G40" t="s">
        <v>160</v>
      </c>
      <c r="H40" t="s">
        <v>161</v>
      </c>
      <c r="I40" t="s">
        <v>30</v>
      </c>
      <c r="J40">
        <v>23</v>
      </c>
      <c r="K40">
        <f t="shared" si="1"/>
        <v>23</v>
      </c>
      <c r="L40">
        <v>50</v>
      </c>
      <c r="M40" t="str">
        <f t="shared" si="2"/>
        <v>50</v>
      </c>
      <c r="N40">
        <v>3.2</v>
      </c>
      <c r="O40" s="3">
        <f t="shared" si="3"/>
        <v>3.2</v>
      </c>
      <c r="P40" t="s">
        <v>75</v>
      </c>
      <c r="Q40" t="str" cm="1">
        <f t="array" ref="Q40">_xlfn.IFS(ISBLANK(P40),"Not Specified",OR(P40="N",P40=FALSE,P40="no",P40=0),"no",TRUE,"yes")</f>
        <v>yes</v>
      </c>
      <c r="S40" t="str">
        <f t="shared" si="4"/>
        <v>Not Specified</v>
      </c>
    </row>
    <row r="41" spans="1:19">
      <c r="A41" t="s">
        <v>162</v>
      </c>
      <c r="B41" t="s">
        <v>163</v>
      </c>
      <c r="C41" t="s">
        <v>104</v>
      </c>
      <c r="D41" t="str" cm="1">
        <f t="array" ref="D41">_xlfn.IFS(OR(LOWER(C41)="f",LOWER(C41)="female"),"Female",TRUE,"Male")</f>
        <v>Male</v>
      </c>
      <c r="E41">
        <v>60</v>
      </c>
      <c r="F41">
        <f t="shared" si="0"/>
        <v>60</v>
      </c>
      <c r="G41" t="s">
        <v>92</v>
      </c>
      <c r="H41" t="s">
        <v>93</v>
      </c>
      <c r="I41" t="s">
        <v>42</v>
      </c>
      <c r="J41">
        <v>13</v>
      </c>
      <c r="K41">
        <f t="shared" si="1"/>
        <v>13</v>
      </c>
      <c r="L41" t="s">
        <v>128</v>
      </c>
      <c r="M41" t="str">
        <f t="shared" si="2"/>
        <v>20</v>
      </c>
      <c r="N41">
        <v>3.6</v>
      </c>
      <c r="O41" s="3">
        <f t="shared" si="3"/>
        <v>3.6</v>
      </c>
      <c r="P41">
        <v>0</v>
      </c>
      <c r="Q41" t="str" cm="1">
        <f t="array" ref="Q41">_xlfn.IFS(ISBLANK(P41),"Not Specified",OR(P41="N",P41=FALSE,P41="no",P41=0),"no",TRUE,"yes")</f>
        <v>no</v>
      </c>
      <c r="R41" s="5">
        <v>0.8</v>
      </c>
      <c r="S41">
        <f t="shared" si="4"/>
        <v>80</v>
      </c>
    </row>
    <row r="42" spans="1:19">
      <c r="A42" t="s">
        <v>164</v>
      </c>
      <c r="B42" t="s">
        <v>165</v>
      </c>
      <c r="C42" t="s">
        <v>84</v>
      </c>
      <c r="D42" t="str" cm="1">
        <f t="array" ref="D42">_xlfn.IFS(OR(LOWER(C42)="f",LOWER(C42)="female"),"Female",TRUE,"Male")</f>
        <v>Female</v>
      </c>
      <c r="E42">
        <v>59</v>
      </c>
      <c r="F42">
        <f t="shared" si="0"/>
        <v>59</v>
      </c>
      <c r="G42" t="s">
        <v>74</v>
      </c>
      <c r="H42" t="s">
        <v>29</v>
      </c>
      <c r="I42" t="s">
        <v>51</v>
      </c>
      <c r="J42">
        <v>3</v>
      </c>
      <c r="K42">
        <f t="shared" si="1"/>
        <v>3</v>
      </c>
      <c r="L42" t="s">
        <v>105</v>
      </c>
      <c r="M42" t="str">
        <f t="shared" si="2"/>
        <v> 50</v>
      </c>
      <c r="N42">
        <v>0</v>
      </c>
      <c r="O42" s="3" t="str">
        <f t="shared" si="3"/>
        <v>Not Specified</v>
      </c>
      <c r="P42" t="s">
        <v>166</v>
      </c>
      <c r="Q42" t="str" cm="1">
        <f t="array" ref="Q42">_xlfn.IFS(ISBLANK(P42),"Not Specified",OR(P42="N",P42=FALSE,P42="no",P42=0),"no",TRUE,"yes")</f>
        <v>no</v>
      </c>
      <c r="S42" t="str">
        <f t="shared" si="4"/>
        <v>Not Specified</v>
      </c>
    </row>
    <row r="43" spans="1:19">
      <c r="A43" t="s">
        <v>167</v>
      </c>
      <c r="B43" t="s">
        <v>168</v>
      </c>
      <c r="C43" t="s">
        <v>84</v>
      </c>
      <c r="D43" t="str" cm="1">
        <f t="array" ref="D43">_xlfn.IFS(OR(LOWER(C43)="f",LOWER(C43)="female"),"Female",TRUE,"Male")</f>
        <v>Female</v>
      </c>
      <c r="E43">
        <v>21</v>
      </c>
      <c r="F43">
        <f t="shared" si="0"/>
        <v>21</v>
      </c>
      <c r="G43" t="s">
        <v>135</v>
      </c>
      <c r="H43" t="s">
        <v>29</v>
      </c>
      <c r="I43" t="s">
        <v>42</v>
      </c>
      <c r="J43">
        <v>0</v>
      </c>
      <c r="K43">
        <f t="shared" si="1"/>
        <v>0</v>
      </c>
      <c r="L43">
        <v>30</v>
      </c>
      <c r="M43" t="str">
        <f t="shared" si="2"/>
        <v>30</v>
      </c>
      <c r="N43">
        <v>2.7</v>
      </c>
      <c r="O43" s="3">
        <f t="shared" si="3"/>
        <v>2.7</v>
      </c>
      <c r="P43">
        <v>1</v>
      </c>
      <c r="Q43" t="str" cm="1">
        <f t="array" ref="Q43">_xlfn.IFS(ISBLANK(P43),"Not Specified",OR(P43="N",P43=FALSE,P43="no",P43=0),"no",TRUE,"yes")</f>
        <v>yes</v>
      </c>
      <c r="R43" s="5">
        <v>0.84</v>
      </c>
      <c r="S43">
        <f t="shared" si="4"/>
        <v>84</v>
      </c>
    </row>
    <row r="44" spans="1:19">
      <c r="A44" t="s">
        <v>169</v>
      </c>
      <c r="B44" t="s">
        <v>170</v>
      </c>
      <c r="C44" t="s">
        <v>84</v>
      </c>
      <c r="D44" t="str" cm="1">
        <f t="array" ref="D44">_xlfn.IFS(OR(LOWER(C44)="f",LOWER(C44)="female"),"Female",TRUE,"Male")</f>
        <v>Female</v>
      </c>
      <c r="E44">
        <v>35</v>
      </c>
      <c r="F44">
        <f t="shared" si="0"/>
        <v>35</v>
      </c>
      <c r="G44" t="s">
        <v>35</v>
      </c>
      <c r="H44" t="s">
        <v>36</v>
      </c>
      <c r="I44" t="s">
        <v>96</v>
      </c>
      <c r="J44">
        <v>10</v>
      </c>
      <c r="K44">
        <f t="shared" si="1"/>
        <v>10</v>
      </c>
      <c r="L44" t="s">
        <v>71</v>
      </c>
      <c r="M44" t="str">
        <f t="shared" si="2"/>
        <v>50</v>
      </c>
      <c r="N44">
        <v>0</v>
      </c>
      <c r="O44" s="3" t="str">
        <f t="shared" si="3"/>
        <v>Not Specified</v>
      </c>
      <c r="P44" t="s">
        <v>166</v>
      </c>
      <c r="Q44" t="str" cm="1">
        <f t="array" ref="Q44">_xlfn.IFS(ISBLANK(P44),"Not Specified",OR(P44="N",P44=FALSE,P44="no",P44=0),"no",TRUE,"yes")</f>
        <v>no</v>
      </c>
      <c r="S44" t="str">
        <f t="shared" si="4"/>
        <v>Not Specified</v>
      </c>
    </row>
    <row r="45" spans="1:19">
      <c r="A45" t="s">
        <v>171</v>
      </c>
      <c r="B45" t="s">
        <v>172</v>
      </c>
      <c r="C45" t="s">
        <v>34</v>
      </c>
      <c r="D45" t="str" cm="1">
        <f t="array" ref="D45">_xlfn.IFS(OR(LOWER(C45)="f",LOWER(C45)="female"),"Female",TRUE,"Male")</f>
        <v>Male</v>
      </c>
      <c r="E45">
        <v>41</v>
      </c>
      <c r="F45">
        <f t="shared" si="0"/>
        <v>41</v>
      </c>
      <c r="G45" t="s">
        <v>74</v>
      </c>
      <c r="H45" t="s">
        <v>29</v>
      </c>
      <c r="I45" t="s">
        <v>58</v>
      </c>
      <c r="K45" t="str">
        <f t="shared" si="1"/>
        <v>Not Specified</v>
      </c>
      <c r="L45">
        <v>20</v>
      </c>
      <c r="M45" t="str">
        <f t="shared" si="2"/>
        <v>20</v>
      </c>
      <c r="N45">
        <v>2.8</v>
      </c>
      <c r="O45" s="3">
        <f t="shared" si="3"/>
        <v>2.8</v>
      </c>
      <c r="P45" t="b">
        <v>1</v>
      </c>
      <c r="Q45" t="str" cm="1">
        <f t="array" ref="Q45">_xlfn.IFS(ISBLANK(P45),"Not Specified",OR(P45="N",P45=FALSE,P45="no",P45=0),"no",TRUE,"yes")</f>
        <v>yes</v>
      </c>
      <c r="R45" s="5">
        <v>0.63</v>
      </c>
      <c r="S45">
        <f t="shared" si="4"/>
        <v>63</v>
      </c>
    </row>
    <row r="46" spans="1:19">
      <c r="A46" t="s">
        <v>173</v>
      </c>
      <c r="B46" t="s">
        <v>174</v>
      </c>
      <c r="C46" t="s">
        <v>84</v>
      </c>
      <c r="D46" t="str" cm="1">
        <f t="array" ref="D46">_xlfn.IFS(OR(LOWER(C46)="f",LOWER(C46)="female"),"Female",TRUE,"Male")</f>
        <v>Female</v>
      </c>
      <c r="E46">
        <v>51</v>
      </c>
      <c r="F46">
        <f t="shared" si="0"/>
        <v>51</v>
      </c>
      <c r="G46" t="s">
        <v>49</v>
      </c>
      <c r="H46" t="s">
        <v>50</v>
      </c>
      <c r="I46" t="s">
        <v>121</v>
      </c>
      <c r="J46">
        <v>23</v>
      </c>
      <c r="K46">
        <f t="shared" si="1"/>
        <v>23</v>
      </c>
      <c r="L46">
        <v>20</v>
      </c>
      <c r="M46" t="str">
        <f t="shared" si="2"/>
        <v>20</v>
      </c>
      <c r="N46">
        <v>2.5</v>
      </c>
      <c r="O46" s="3">
        <f t="shared" si="3"/>
        <v>2.5</v>
      </c>
      <c r="P46" t="b">
        <v>0</v>
      </c>
      <c r="Q46" t="str" cm="1">
        <f t="array" ref="Q46">_xlfn.IFS(ISBLANK(P46),"Not Specified",OR(P46="N",P46=FALSE,P46="no",P46=0),"no",TRUE,"yes")</f>
        <v>no</v>
      </c>
      <c r="R46" s="5">
        <v>0.8</v>
      </c>
      <c r="S46">
        <f t="shared" si="4"/>
        <v>80</v>
      </c>
    </row>
    <row r="47" spans="1:19">
      <c r="A47" t="s">
        <v>175</v>
      </c>
      <c r="B47" t="s">
        <v>176</v>
      </c>
      <c r="C47" t="s">
        <v>34</v>
      </c>
      <c r="D47" t="str" cm="1">
        <f t="array" ref="D47">_xlfn.IFS(OR(LOWER(C47)="f",LOWER(C47)="female"),"Female",TRUE,"Male")</f>
        <v>Male</v>
      </c>
      <c r="E47">
        <v>41</v>
      </c>
      <c r="F47">
        <f t="shared" si="0"/>
        <v>41</v>
      </c>
      <c r="G47" t="s">
        <v>160</v>
      </c>
      <c r="H47" t="s">
        <v>161</v>
      </c>
      <c r="I47" t="s">
        <v>42</v>
      </c>
      <c r="J47">
        <v>9</v>
      </c>
      <c r="K47">
        <f t="shared" si="1"/>
        <v>9</v>
      </c>
      <c r="L47" t="s">
        <v>177</v>
      </c>
      <c r="M47" t="str">
        <f t="shared" si="2"/>
        <v>75</v>
      </c>
      <c r="N47">
        <v>4.9</v>
      </c>
      <c r="O47" s="3">
        <f t="shared" si="3"/>
        <v>4.9</v>
      </c>
      <c r="P47">
        <v>1</v>
      </c>
      <c r="Q47" t="str" cm="1">
        <f t="array" ref="Q47">_xlfn.IFS(ISBLANK(P47),"Not Specified",OR(P47="N",P47=FALSE,P47="no",P47=0),"no",TRUE,"yes")</f>
        <v>yes</v>
      </c>
      <c r="R47" s="5">
        <v>0.74</v>
      </c>
      <c r="S47">
        <f t="shared" si="4"/>
        <v>74</v>
      </c>
    </row>
    <row r="48" spans="1:19">
      <c r="A48" t="s">
        <v>178</v>
      </c>
      <c r="B48" t="s">
        <v>179</v>
      </c>
      <c r="C48" t="s">
        <v>84</v>
      </c>
      <c r="D48" t="str" cm="1">
        <f t="array" ref="D48">_xlfn.IFS(OR(LOWER(C48)="f",LOWER(C48)="female"),"Female",TRUE,"Male")</f>
        <v>Female</v>
      </c>
      <c r="E48">
        <v>47</v>
      </c>
      <c r="F48">
        <f t="shared" si="0"/>
        <v>47</v>
      </c>
      <c r="G48" t="s">
        <v>146</v>
      </c>
      <c r="H48" t="s">
        <v>147</v>
      </c>
      <c r="I48" t="s">
        <v>96</v>
      </c>
      <c r="J48">
        <v>15</v>
      </c>
      <c r="K48">
        <f t="shared" si="1"/>
        <v>15</v>
      </c>
      <c r="L48" t="s">
        <v>116</v>
      </c>
      <c r="M48" t="str">
        <f t="shared" si="2"/>
        <v> 30</v>
      </c>
      <c r="N48">
        <v>4.5</v>
      </c>
      <c r="O48" s="3">
        <f t="shared" si="3"/>
        <v>4.5</v>
      </c>
      <c r="P48">
        <v>1</v>
      </c>
      <c r="Q48" t="str" cm="1">
        <f t="array" ref="Q48">_xlfn.IFS(ISBLANK(P48),"Not Specified",OR(P48="N",P48=FALSE,P48="no",P48=0),"no",TRUE,"yes")</f>
        <v>yes</v>
      </c>
      <c r="R48" s="5">
        <v>0.85</v>
      </c>
      <c r="S48">
        <f t="shared" si="4"/>
        <v>85</v>
      </c>
    </row>
    <row r="49" spans="1:19">
      <c r="A49" t="s">
        <v>180</v>
      </c>
      <c r="B49" t="s">
        <v>181</v>
      </c>
      <c r="C49" t="s">
        <v>34</v>
      </c>
      <c r="D49" t="str" cm="1">
        <f t="array" ref="D49">_xlfn.IFS(OR(LOWER(C49)="f",LOWER(C49)="female"),"Female",TRUE,"Male")</f>
        <v>Male</v>
      </c>
      <c r="E49">
        <v>25</v>
      </c>
      <c r="F49">
        <f t="shared" si="0"/>
        <v>25</v>
      </c>
      <c r="G49" t="s">
        <v>182</v>
      </c>
      <c r="H49" t="s">
        <v>183</v>
      </c>
      <c r="I49" t="s">
        <v>37</v>
      </c>
      <c r="J49">
        <v>4</v>
      </c>
      <c r="K49">
        <f t="shared" si="1"/>
        <v>4</v>
      </c>
      <c r="L49">
        <v>50</v>
      </c>
      <c r="M49" t="str">
        <f t="shared" si="2"/>
        <v>50</v>
      </c>
      <c r="N49">
        <v>2.7</v>
      </c>
      <c r="O49" s="3">
        <f t="shared" si="3"/>
        <v>2.7</v>
      </c>
      <c r="P49" t="s">
        <v>38</v>
      </c>
      <c r="Q49" t="str" cm="1">
        <f t="array" ref="Q49">_xlfn.IFS(ISBLANK(P49),"Not Specified",OR(P49="N",P49=FALSE,P49="no",P49=0),"no",TRUE,"yes")</f>
        <v>no</v>
      </c>
      <c r="R49" s="5">
        <v>0.77</v>
      </c>
      <c r="S49">
        <f t="shared" si="4"/>
        <v>77</v>
      </c>
    </row>
    <row r="50" spans="1:19">
      <c r="A50" t="s">
        <v>184</v>
      </c>
      <c r="B50" t="s">
        <v>185</v>
      </c>
      <c r="C50" t="s">
        <v>41</v>
      </c>
      <c r="D50" t="str" cm="1">
        <f t="array" ref="D50">_xlfn.IFS(OR(LOWER(C50)="f",LOWER(C50)="female"),"Female",TRUE,"Male")</f>
        <v>Female</v>
      </c>
      <c r="E50">
        <v>25</v>
      </c>
      <c r="F50">
        <f t="shared" si="0"/>
        <v>25</v>
      </c>
      <c r="G50" t="s">
        <v>186</v>
      </c>
      <c r="H50" t="s">
        <v>79</v>
      </c>
      <c r="I50" t="s">
        <v>30</v>
      </c>
      <c r="J50">
        <v>7</v>
      </c>
      <c r="K50">
        <f t="shared" si="1"/>
        <v>7</v>
      </c>
      <c r="L50">
        <v>20</v>
      </c>
      <c r="M50" t="str">
        <f t="shared" si="2"/>
        <v>20</v>
      </c>
      <c r="N50">
        <v>1.9</v>
      </c>
      <c r="O50" s="3">
        <f t="shared" si="3"/>
        <v>1.9</v>
      </c>
      <c r="P50">
        <v>0</v>
      </c>
      <c r="Q50" t="str" cm="1">
        <f t="array" ref="Q50">_xlfn.IFS(ISBLANK(P50),"Not Specified",OR(P50="N",P50=FALSE,P50="no",P50=0),"no",TRUE,"yes")</f>
        <v>no</v>
      </c>
      <c r="S50" t="str">
        <f t="shared" si="4"/>
        <v>Not Specified</v>
      </c>
    </row>
    <row r="51" spans="1:19">
      <c r="A51" t="s">
        <v>187</v>
      </c>
      <c r="B51" t="s">
        <v>188</v>
      </c>
      <c r="C51" t="s">
        <v>55</v>
      </c>
      <c r="D51" t="str" cm="1">
        <f t="array" ref="D51">_xlfn.IFS(OR(LOWER(C51)="f",LOWER(C51)="female"),"Female",TRUE,"Male")</f>
        <v>Male</v>
      </c>
      <c r="E51">
        <v>29</v>
      </c>
      <c r="F51">
        <f t="shared" si="0"/>
        <v>29</v>
      </c>
      <c r="G51" t="s">
        <v>49</v>
      </c>
      <c r="H51" t="s">
        <v>50</v>
      </c>
      <c r="I51" t="s">
        <v>80</v>
      </c>
      <c r="J51">
        <v>1</v>
      </c>
      <c r="K51">
        <f t="shared" si="1"/>
        <v>1</v>
      </c>
      <c r="L51">
        <v>20</v>
      </c>
      <c r="M51" t="str">
        <f t="shared" si="2"/>
        <v>20</v>
      </c>
      <c r="N51">
        <v>1.4</v>
      </c>
      <c r="O51" s="3">
        <f t="shared" si="3"/>
        <v>1.4</v>
      </c>
      <c r="P51">
        <v>1</v>
      </c>
      <c r="Q51" t="str" cm="1">
        <f t="array" ref="Q51">_xlfn.IFS(ISBLANK(P51),"Not Specified",OR(P51="N",P51=FALSE,P51="no",P51=0),"no",TRUE,"yes")</f>
        <v>yes</v>
      </c>
      <c r="R51" s="5">
        <v>0.63</v>
      </c>
      <c r="S51">
        <f t="shared" si="4"/>
        <v>63</v>
      </c>
    </row>
    <row r="52" spans="1:19">
      <c r="A52" t="s">
        <v>189</v>
      </c>
      <c r="B52" t="s">
        <v>190</v>
      </c>
      <c r="C52" t="s">
        <v>27</v>
      </c>
      <c r="D52" t="str" cm="1">
        <f t="array" ref="D52">_xlfn.IFS(OR(LOWER(C52)="f",LOWER(C52)="female"),"Female",TRUE,"Male")</f>
        <v>Female</v>
      </c>
      <c r="E52">
        <v>23</v>
      </c>
      <c r="F52">
        <f t="shared" si="0"/>
        <v>23</v>
      </c>
      <c r="G52" t="s">
        <v>78</v>
      </c>
      <c r="H52" t="s">
        <v>79</v>
      </c>
      <c r="I52" t="s">
        <v>85</v>
      </c>
      <c r="J52">
        <v>0</v>
      </c>
      <c r="K52">
        <f t="shared" si="1"/>
        <v>0</v>
      </c>
      <c r="L52">
        <v>75</v>
      </c>
      <c r="M52" t="str">
        <f t="shared" si="2"/>
        <v>75</v>
      </c>
      <c r="N52">
        <v>1.9</v>
      </c>
      <c r="O52" s="3">
        <f t="shared" si="3"/>
        <v>1.9</v>
      </c>
      <c r="P52" t="b">
        <v>1</v>
      </c>
      <c r="Q52" t="str" cm="1">
        <f t="array" ref="Q52">_xlfn.IFS(ISBLANK(P52),"Not Specified",OR(P52="N",P52=FALSE,P52="no",P52=0),"no",TRUE,"yes")</f>
        <v>yes</v>
      </c>
      <c r="R52" s="5">
        <v>0.79</v>
      </c>
      <c r="S52">
        <f t="shared" si="4"/>
        <v>79</v>
      </c>
    </row>
    <row r="53" spans="1:19">
      <c r="A53" t="s">
        <v>191</v>
      </c>
      <c r="B53" t="s">
        <v>192</v>
      </c>
      <c r="C53" t="s">
        <v>34</v>
      </c>
      <c r="D53" t="str" cm="1">
        <f t="array" ref="D53">_xlfn.IFS(OR(LOWER(C53)="f",LOWER(C53)="female"),"Female",TRUE,"Male")</f>
        <v>Male</v>
      </c>
      <c r="E53">
        <v>31</v>
      </c>
      <c r="F53">
        <f t="shared" si="0"/>
        <v>31</v>
      </c>
      <c r="G53" t="s">
        <v>142</v>
      </c>
      <c r="H53" t="s">
        <v>143</v>
      </c>
      <c r="I53" t="s">
        <v>58</v>
      </c>
      <c r="J53">
        <v>8</v>
      </c>
      <c r="K53">
        <f t="shared" si="1"/>
        <v>8</v>
      </c>
      <c r="L53">
        <v>50</v>
      </c>
      <c r="M53" t="str">
        <f t="shared" si="2"/>
        <v>50</v>
      </c>
      <c r="N53">
        <v>3.4</v>
      </c>
      <c r="O53" s="3">
        <f t="shared" si="3"/>
        <v>3.4</v>
      </c>
      <c r="P53">
        <v>0</v>
      </c>
      <c r="Q53" t="str" cm="1">
        <f t="array" ref="Q53">_xlfn.IFS(ISBLANK(P53),"Not Specified",OR(P53="N",P53=FALSE,P53="no",P53=0),"no",TRUE,"yes")</f>
        <v>no</v>
      </c>
      <c r="S53" t="str">
        <f t="shared" si="4"/>
        <v>Not Specified</v>
      </c>
    </row>
    <row r="54" spans="1:19">
      <c r="A54" t="s">
        <v>193</v>
      </c>
      <c r="B54" t="s">
        <v>194</v>
      </c>
      <c r="C54" t="s">
        <v>104</v>
      </c>
      <c r="D54" t="str" cm="1">
        <f t="array" ref="D54">_xlfn.IFS(OR(LOWER(C54)="f",LOWER(C54)="female"),"Female",TRUE,"Male")</f>
        <v>Male</v>
      </c>
      <c r="E54">
        <v>51</v>
      </c>
      <c r="F54">
        <f t="shared" si="0"/>
        <v>51</v>
      </c>
      <c r="G54" t="s">
        <v>35</v>
      </c>
      <c r="H54" t="s">
        <v>36</v>
      </c>
      <c r="I54" t="s">
        <v>121</v>
      </c>
      <c r="J54">
        <v>33</v>
      </c>
      <c r="K54">
        <f t="shared" si="1"/>
        <v>33</v>
      </c>
      <c r="L54">
        <v>75</v>
      </c>
      <c r="M54" t="str">
        <f t="shared" si="2"/>
        <v>75</v>
      </c>
      <c r="N54">
        <v>3.3</v>
      </c>
      <c r="O54" s="3">
        <f t="shared" si="3"/>
        <v>3.3</v>
      </c>
      <c r="Q54" t="str" cm="1">
        <f t="array" ref="Q54">_xlfn.IFS(ISBLANK(P54),"Not Specified",OR(P54="N",P54=FALSE,P54="no",P54=0),"no",TRUE,"yes")</f>
        <v>Not Specified</v>
      </c>
      <c r="R54" s="5">
        <v>0.68</v>
      </c>
      <c r="S54">
        <f t="shared" si="4"/>
        <v>68</v>
      </c>
    </row>
    <row r="55" spans="1:19">
      <c r="A55" t="s">
        <v>195</v>
      </c>
      <c r="B55" t="s">
        <v>196</v>
      </c>
      <c r="C55" t="s">
        <v>55</v>
      </c>
      <c r="D55" t="str" cm="1">
        <f t="array" ref="D55">_xlfn.IFS(OR(LOWER(C55)="f",LOWER(C55)="female"),"Female",TRUE,"Male")</f>
        <v>Male</v>
      </c>
      <c r="F55" t="str">
        <f t="shared" si="0"/>
        <v>Not Specified</v>
      </c>
      <c r="G55" t="s">
        <v>197</v>
      </c>
      <c r="H55" t="s">
        <v>79</v>
      </c>
      <c r="I55" t="s">
        <v>80</v>
      </c>
      <c r="J55">
        <v>1</v>
      </c>
      <c r="K55">
        <f t="shared" si="1"/>
        <v>1</v>
      </c>
      <c r="L55">
        <v>30</v>
      </c>
      <c r="M55" t="str">
        <f t="shared" si="2"/>
        <v>30</v>
      </c>
      <c r="N55">
        <v>0</v>
      </c>
      <c r="O55" s="3" t="str">
        <f t="shared" si="3"/>
        <v>Not Specified</v>
      </c>
      <c r="P55">
        <v>0</v>
      </c>
      <c r="Q55" t="str" cm="1">
        <f t="array" ref="Q55">_xlfn.IFS(ISBLANK(P55),"Not Specified",OR(P55="N",P55=FALSE,P55="no",P55=0),"no",TRUE,"yes")</f>
        <v>no</v>
      </c>
      <c r="R55" s="5">
        <v>0.68</v>
      </c>
      <c r="S55">
        <f t="shared" si="4"/>
        <v>68</v>
      </c>
    </row>
    <row r="56" spans="1:19">
      <c r="A56" t="s">
        <v>198</v>
      </c>
      <c r="B56" t="s">
        <v>199</v>
      </c>
      <c r="C56" t="s">
        <v>21</v>
      </c>
      <c r="D56" t="str" cm="1">
        <f t="array" ref="D56">_xlfn.IFS(OR(LOWER(C56)="f",LOWER(C56)="female"),"Female",TRUE,"Male")</f>
        <v>Female</v>
      </c>
      <c r="E56">
        <v>29</v>
      </c>
      <c r="F56">
        <f t="shared" si="0"/>
        <v>29</v>
      </c>
      <c r="G56" t="s">
        <v>69</v>
      </c>
      <c r="H56" t="s">
        <v>70</v>
      </c>
      <c r="I56" t="s">
        <v>85</v>
      </c>
      <c r="J56">
        <v>11</v>
      </c>
      <c r="K56">
        <f t="shared" si="1"/>
        <v>11</v>
      </c>
      <c r="L56">
        <v>100</v>
      </c>
      <c r="M56" t="str">
        <f t="shared" si="2"/>
        <v>100</v>
      </c>
      <c r="N56">
        <v>2.3</v>
      </c>
      <c r="O56" s="3">
        <f t="shared" si="3"/>
        <v>2.3</v>
      </c>
      <c r="P56" t="b">
        <v>1</v>
      </c>
      <c r="Q56" t="str" cm="1">
        <f t="array" ref="Q56">_xlfn.IFS(ISBLANK(P56),"Not Specified",OR(P56="N",P56=FALSE,P56="no",P56=0),"no",TRUE,"yes")</f>
        <v>yes</v>
      </c>
      <c r="R56" s="5">
        <v>0.72</v>
      </c>
      <c r="S56">
        <f t="shared" si="4"/>
        <v>72</v>
      </c>
    </row>
    <row r="57" spans="1:19">
      <c r="A57" t="s">
        <v>200</v>
      </c>
      <c r="B57" t="s">
        <v>201</v>
      </c>
      <c r="C57" t="s">
        <v>55</v>
      </c>
      <c r="D57" t="str" cm="1">
        <f t="array" ref="D57">_xlfn.IFS(OR(LOWER(C57)="f",LOWER(C57)="female"),"Female",TRUE,"Male")</f>
        <v>Male</v>
      </c>
      <c r="E57">
        <v>50</v>
      </c>
      <c r="F57">
        <f t="shared" si="0"/>
        <v>50</v>
      </c>
      <c r="G57" t="s">
        <v>74</v>
      </c>
      <c r="H57" t="s">
        <v>29</v>
      </c>
      <c r="I57" t="s">
        <v>51</v>
      </c>
      <c r="J57">
        <v>15</v>
      </c>
      <c r="K57">
        <f t="shared" si="1"/>
        <v>15</v>
      </c>
      <c r="M57" t="str">
        <f t="shared" si="2"/>
        <v>Not Specified</v>
      </c>
      <c r="N57">
        <v>2</v>
      </c>
      <c r="O57" s="3">
        <f t="shared" si="3"/>
        <v>2</v>
      </c>
      <c r="P57" t="s">
        <v>75</v>
      </c>
      <c r="Q57" t="str" cm="1">
        <f t="array" ref="Q57">_xlfn.IFS(ISBLANK(P57),"Not Specified",OR(P57="N",P57=FALSE,P57="no",P57=0),"no",TRUE,"yes")</f>
        <v>yes</v>
      </c>
      <c r="R57" s="5">
        <v>0.65</v>
      </c>
      <c r="S57">
        <f t="shared" si="4"/>
        <v>65</v>
      </c>
    </row>
    <row r="58" spans="1:19">
      <c r="A58" t="s">
        <v>202</v>
      </c>
      <c r="B58" t="s">
        <v>203</v>
      </c>
      <c r="C58" t="s">
        <v>21</v>
      </c>
      <c r="D58" t="str" cm="1">
        <f t="array" ref="D58">_xlfn.IFS(OR(LOWER(C58)="f",LOWER(C58)="female"),"Female",TRUE,"Male")</f>
        <v>Female</v>
      </c>
      <c r="E58">
        <v>26</v>
      </c>
      <c r="F58">
        <f t="shared" si="0"/>
        <v>26</v>
      </c>
      <c r="G58" t="s">
        <v>74</v>
      </c>
      <c r="H58" t="s">
        <v>29</v>
      </c>
      <c r="I58" t="s">
        <v>96</v>
      </c>
      <c r="J58">
        <v>8</v>
      </c>
      <c r="K58">
        <f t="shared" si="1"/>
        <v>8</v>
      </c>
      <c r="L58">
        <v>50</v>
      </c>
      <c r="M58" t="str">
        <f t="shared" si="2"/>
        <v>50</v>
      </c>
      <c r="N58">
        <v>1.3</v>
      </c>
      <c r="O58" s="3">
        <f t="shared" si="3"/>
        <v>1.3</v>
      </c>
      <c r="P58" t="b">
        <v>0</v>
      </c>
      <c r="Q58" t="str" cm="1">
        <f t="array" ref="Q58">_xlfn.IFS(ISBLANK(P58),"Not Specified",OR(P58="N",P58=FALSE,P58="no",P58=0),"no",TRUE,"yes")</f>
        <v>no</v>
      </c>
      <c r="R58" s="5">
        <v>0.76</v>
      </c>
      <c r="S58">
        <f t="shared" si="4"/>
        <v>76</v>
      </c>
    </row>
    <row r="59" spans="1:19">
      <c r="A59" t="s">
        <v>204</v>
      </c>
      <c r="B59" t="s">
        <v>205</v>
      </c>
      <c r="C59" t="s">
        <v>104</v>
      </c>
      <c r="D59" t="str" cm="1">
        <f t="array" ref="D59">_xlfn.IFS(OR(LOWER(C59)="f",LOWER(C59)="female"),"Female",TRUE,"Male")</f>
        <v>Male</v>
      </c>
      <c r="E59">
        <v>38</v>
      </c>
      <c r="F59">
        <f t="shared" si="0"/>
        <v>38</v>
      </c>
      <c r="G59" t="s">
        <v>135</v>
      </c>
      <c r="H59" t="s">
        <v>29</v>
      </c>
      <c r="I59" t="s">
        <v>51</v>
      </c>
      <c r="J59">
        <v>17</v>
      </c>
      <c r="K59">
        <f t="shared" si="1"/>
        <v>17</v>
      </c>
      <c r="L59" t="s">
        <v>62</v>
      </c>
      <c r="M59" t="str">
        <f t="shared" si="2"/>
        <v> 40</v>
      </c>
      <c r="N59">
        <v>4</v>
      </c>
      <c r="O59" s="3">
        <f t="shared" si="3"/>
        <v>4</v>
      </c>
      <c r="P59" t="b">
        <v>1</v>
      </c>
      <c r="Q59" t="str" cm="1">
        <f t="array" ref="Q59">_xlfn.IFS(ISBLANK(P59),"Not Specified",OR(P59="N",P59=FALSE,P59="no",P59=0),"no",TRUE,"yes")</f>
        <v>yes</v>
      </c>
      <c r="R59" s="5">
        <v>0.9</v>
      </c>
      <c r="S59">
        <f t="shared" si="4"/>
        <v>90</v>
      </c>
    </row>
    <row r="60" spans="1:19">
      <c r="A60" t="s">
        <v>206</v>
      </c>
      <c r="B60" t="s">
        <v>207</v>
      </c>
      <c r="C60" t="s">
        <v>27</v>
      </c>
      <c r="D60" t="str" cm="1">
        <f t="array" ref="D60">_xlfn.IFS(OR(LOWER(C60)="f",LOWER(C60)="female"),"Female",TRUE,"Male")</f>
        <v>Female</v>
      </c>
      <c r="E60">
        <v>23</v>
      </c>
      <c r="F60">
        <f t="shared" si="0"/>
        <v>23</v>
      </c>
      <c r="G60" t="s">
        <v>100</v>
      </c>
      <c r="H60" t="s">
        <v>101</v>
      </c>
      <c r="I60" t="s">
        <v>30</v>
      </c>
      <c r="K60" t="str">
        <f t="shared" si="1"/>
        <v>Not Specified</v>
      </c>
      <c r="L60">
        <v>75</v>
      </c>
      <c r="M60" t="str">
        <f t="shared" si="2"/>
        <v>75</v>
      </c>
      <c r="N60">
        <v>3.6</v>
      </c>
      <c r="O60" s="3">
        <f t="shared" si="3"/>
        <v>3.6</v>
      </c>
      <c r="P60">
        <v>1</v>
      </c>
      <c r="Q60" t="str" cm="1">
        <f t="array" ref="Q60">_xlfn.IFS(ISBLANK(P60),"Not Specified",OR(P60="N",P60=FALSE,P60="no",P60=0),"no",TRUE,"yes")</f>
        <v>yes</v>
      </c>
      <c r="R60" s="5">
        <v>0.65</v>
      </c>
      <c r="S60">
        <f t="shared" si="4"/>
        <v>65</v>
      </c>
    </row>
    <row r="61" spans="1:19">
      <c r="A61" t="s">
        <v>208</v>
      </c>
      <c r="B61" t="s">
        <v>209</v>
      </c>
      <c r="C61" t="s">
        <v>84</v>
      </c>
      <c r="D61" t="str" cm="1">
        <f t="array" ref="D61">_xlfn.IFS(OR(LOWER(C61)="f",LOWER(C61)="female"),"Female",TRUE,"Male")</f>
        <v>Female</v>
      </c>
      <c r="E61">
        <v>51</v>
      </c>
      <c r="F61">
        <f t="shared" si="0"/>
        <v>51</v>
      </c>
      <c r="G61" t="s">
        <v>160</v>
      </c>
      <c r="H61" t="s">
        <v>161</v>
      </c>
      <c r="I61" t="s">
        <v>96</v>
      </c>
      <c r="J61">
        <v>28</v>
      </c>
      <c r="K61">
        <f t="shared" si="1"/>
        <v>28</v>
      </c>
      <c r="L61">
        <v>40</v>
      </c>
      <c r="M61" t="str">
        <f t="shared" si="2"/>
        <v>40</v>
      </c>
      <c r="N61">
        <v>3.9</v>
      </c>
      <c r="O61" s="3">
        <f t="shared" si="3"/>
        <v>3.9</v>
      </c>
      <c r="P61">
        <v>0</v>
      </c>
      <c r="Q61" t="str" cm="1">
        <f t="array" ref="Q61">_xlfn.IFS(ISBLANK(P61),"Not Specified",OR(P61="N",P61=FALSE,P61="no",P61=0),"no",TRUE,"yes")</f>
        <v>no</v>
      </c>
      <c r="R61" s="5">
        <v>0.63</v>
      </c>
      <c r="S61">
        <f t="shared" si="4"/>
        <v>63</v>
      </c>
    </row>
    <row r="62" spans="1:19">
      <c r="A62" t="s">
        <v>210</v>
      </c>
      <c r="B62" t="s">
        <v>211</v>
      </c>
      <c r="C62" t="s">
        <v>41</v>
      </c>
      <c r="D62" t="str" cm="1">
        <f t="array" ref="D62">_xlfn.IFS(OR(LOWER(C62)="f",LOWER(C62)="female"),"Female",TRUE,"Male")</f>
        <v>Female</v>
      </c>
      <c r="E62">
        <v>51</v>
      </c>
      <c r="F62">
        <f t="shared" si="0"/>
        <v>51</v>
      </c>
      <c r="G62" t="s">
        <v>56</v>
      </c>
      <c r="H62" t="s">
        <v>57</v>
      </c>
      <c r="I62" t="s">
        <v>51</v>
      </c>
      <c r="J62">
        <v>33</v>
      </c>
      <c r="K62">
        <f t="shared" si="1"/>
        <v>33</v>
      </c>
      <c r="L62" t="s">
        <v>177</v>
      </c>
      <c r="M62" t="str">
        <f t="shared" si="2"/>
        <v>75</v>
      </c>
      <c r="N62">
        <v>0</v>
      </c>
      <c r="O62" s="3" t="str">
        <f t="shared" si="3"/>
        <v>Not Specified</v>
      </c>
      <c r="P62" t="b">
        <v>1</v>
      </c>
      <c r="Q62" t="str" cm="1">
        <f t="array" ref="Q62">_xlfn.IFS(ISBLANK(P62),"Not Specified",OR(P62="N",P62=FALSE,P62="no",P62=0),"no",TRUE,"yes")</f>
        <v>yes</v>
      </c>
      <c r="S62" t="str">
        <f t="shared" si="4"/>
        <v>Not Specified</v>
      </c>
    </row>
    <row r="63" spans="1:19">
      <c r="A63" t="s">
        <v>212</v>
      </c>
      <c r="B63" t="s">
        <v>213</v>
      </c>
      <c r="C63" t="s">
        <v>104</v>
      </c>
      <c r="D63" t="str" cm="1">
        <f t="array" ref="D63">_xlfn.IFS(OR(LOWER(C63)="f",LOWER(C63)="female"),"Female",TRUE,"Male")</f>
        <v>Male</v>
      </c>
      <c r="E63">
        <v>47</v>
      </c>
      <c r="F63">
        <f t="shared" si="0"/>
        <v>47</v>
      </c>
      <c r="G63" t="s">
        <v>35</v>
      </c>
      <c r="H63" t="s">
        <v>36</v>
      </c>
      <c r="I63" t="s">
        <v>51</v>
      </c>
      <c r="J63">
        <v>18</v>
      </c>
      <c r="K63">
        <f t="shared" si="1"/>
        <v>18</v>
      </c>
      <c r="L63">
        <v>75</v>
      </c>
      <c r="M63" t="str">
        <f t="shared" si="2"/>
        <v>75</v>
      </c>
      <c r="N63">
        <v>0</v>
      </c>
      <c r="O63" s="3" t="str">
        <f t="shared" si="3"/>
        <v>Not Specified</v>
      </c>
      <c r="P63">
        <v>0</v>
      </c>
      <c r="Q63" t="str" cm="1">
        <f t="array" ref="Q63">_xlfn.IFS(ISBLANK(P63),"Not Specified",OR(P63="N",P63=FALSE,P63="no",P63=0),"no",TRUE,"yes")</f>
        <v>no</v>
      </c>
      <c r="S63" t="str">
        <f t="shared" si="4"/>
        <v>Not Specified</v>
      </c>
    </row>
    <row r="64" spans="1:19">
      <c r="A64" t="s">
        <v>214</v>
      </c>
      <c r="B64" t="s">
        <v>215</v>
      </c>
      <c r="C64" t="s">
        <v>84</v>
      </c>
      <c r="D64" t="str" cm="1">
        <f t="array" ref="D64">_xlfn.IFS(OR(LOWER(C64)="f",LOWER(C64)="female"),"Female",TRUE,"Male")</f>
        <v>Female</v>
      </c>
      <c r="E64">
        <v>34</v>
      </c>
      <c r="F64">
        <f t="shared" si="0"/>
        <v>34</v>
      </c>
      <c r="G64" t="s">
        <v>131</v>
      </c>
      <c r="H64" t="s">
        <v>132</v>
      </c>
      <c r="I64" t="s">
        <v>80</v>
      </c>
      <c r="J64">
        <v>16</v>
      </c>
      <c r="K64">
        <f t="shared" si="1"/>
        <v>16</v>
      </c>
      <c r="L64" t="s">
        <v>128</v>
      </c>
      <c r="M64" t="str">
        <f t="shared" si="2"/>
        <v>20</v>
      </c>
      <c r="N64">
        <v>2.3</v>
      </c>
      <c r="O64" s="3">
        <f t="shared" si="3"/>
        <v>2.3</v>
      </c>
      <c r="P64" t="s">
        <v>75</v>
      </c>
      <c r="Q64" t="str" cm="1">
        <f t="array" ref="Q64">_xlfn.IFS(ISBLANK(P64),"Not Specified",OR(P64="N",P64=FALSE,P64="no",P64=0),"no",TRUE,"yes")</f>
        <v>yes</v>
      </c>
      <c r="R64" s="5">
        <v>0.93</v>
      </c>
      <c r="S64">
        <f t="shared" si="4"/>
        <v>93</v>
      </c>
    </row>
    <row r="65" spans="1:19">
      <c r="A65" t="s">
        <v>216</v>
      </c>
      <c r="B65" t="s">
        <v>217</v>
      </c>
      <c r="C65" t="s">
        <v>21</v>
      </c>
      <c r="D65" t="str" cm="1">
        <f t="array" ref="D65">_xlfn.IFS(OR(LOWER(C65)="f",LOWER(C65)="female"),"Female",TRUE,"Male")</f>
        <v>Female</v>
      </c>
      <c r="E65">
        <v>58</v>
      </c>
      <c r="F65">
        <f t="shared" si="0"/>
        <v>58</v>
      </c>
      <c r="G65" t="s">
        <v>56</v>
      </c>
      <c r="H65" t="s">
        <v>57</v>
      </c>
      <c r="I65" t="s">
        <v>58</v>
      </c>
      <c r="J65">
        <v>35</v>
      </c>
      <c r="K65">
        <f t="shared" si="1"/>
        <v>35</v>
      </c>
      <c r="L65" t="s">
        <v>105</v>
      </c>
      <c r="M65" t="str">
        <f t="shared" si="2"/>
        <v> 50</v>
      </c>
      <c r="N65">
        <v>4.7</v>
      </c>
      <c r="O65" s="3">
        <f t="shared" si="3"/>
        <v>4.7</v>
      </c>
      <c r="P65" t="s">
        <v>166</v>
      </c>
      <c r="Q65" t="str" cm="1">
        <f t="array" ref="Q65">_xlfn.IFS(ISBLANK(P65),"Not Specified",OR(P65="N",P65=FALSE,P65="no",P65=0),"no",TRUE,"yes")</f>
        <v>no</v>
      </c>
      <c r="R65" s="5">
        <v>0.7</v>
      </c>
      <c r="S65">
        <f t="shared" si="4"/>
        <v>70</v>
      </c>
    </row>
    <row r="66" spans="1:19">
      <c r="A66" t="s">
        <v>218</v>
      </c>
      <c r="B66" t="s">
        <v>219</v>
      </c>
      <c r="C66" t="s">
        <v>41</v>
      </c>
      <c r="D66" t="str" cm="1">
        <f t="array" ref="D66">_xlfn.IFS(OR(LOWER(C66)="f",LOWER(C66)="female"),"Female",TRUE,"Male")</f>
        <v>Female</v>
      </c>
      <c r="E66">
        <v>50</v>
      </c>
      <c r="F66">
        <f t="shared" si="0"/>
        <v>50</v>
      </c>
      <c r="G66" t="s">
        <v>131</v>
      </c>
      <c r="H66" t="s">
        <v>132</v>
      </c>
      <c r="I66" t="s">
        <v>51</v>
      </c>
      <c r="J66">
        <v>14</v>
      </c>
      <c r="K66">
        <f t="shared" si="1"/>
        <v>14</v>
      </c>
      <c r="M66" t="str">
        <f t="shared" si="2"/>
        <v>Not Specified</v>
      </c>
      <c r="N66">
        <v>3.5</v>
      </c>
      <c r="O66" s="3">
        <f t="shared" si="3"/>
        <v>3.5</v>
      </c>
      <c r="P66" t="s">
        <v>81</v>
      </c>
      <c r="Q66" t="str" cm="1">
        <f t="array" ref="Q66">_xlfn.IFS(ISBLANK(P66),"Not Specified",OR(P66="N",P66=FALSE,P66="no",P66=0),"no",TRUE,"yes")</f>
        <v>yes</v>
      </c>
      <c r="R66" s="5">
        <v>0.83</v>
      </c>
      <c r="S66">
        <f t="shared" si="4"/>
        <v>83</v>
      </c>
    </row>
    <row r="67" spans="1:19">
      <c r="A67" t="s">
        <v>220</v>
      </c>
      <c r="B67" t="s">
        <v>221</v>
      </c>
      <c r="C67" t="s">
        <v>27</v>
      </c>
      <c r="D67" t="str" cm="1">
        <f t="array" ref="D67">_xlfn.IFS(OR(LOWER(C67)="f",LOWER(C67)="female"),"Female",TRUE,"Male")</f>
        <v>Female</v>
      </c>
      <c r="E67">
        <v>34</v>
      </c>
      <c r="F67">
        <f t="shared" ref="F67:F130" si="5">IF(ISNUMBER(E67),E67,"Not Specified")</f>
        <v>34</v>
      </c>
      <c r="G67" t="s">
        <v>197</v>
      </c>
      <c r="H67" t="s">
        <v>79</v>
      </c>
      <c r="I67" t="s">
        <v>42</v>
      </c>
      <c r="J67">
        <v>12</v>
      </c>
      <c r="K67">
        <f t="shared" ref="K67:K130" si="6">IF(ISNUMBER(J67),J67,"Not Specified")</f>
        <v>12</v>
      </c>
      <c r="L67">
        <v>40</v>
      </c>
      <c r="M67" t="str">
        <f t="shared" ref="M67:M130" si="7">IF(SUBSTITUTE(SUBSTITUTE(L67,"USD",""),"$","")="","Not Specified",SUBSTITUTE(SUBSTITUTE(L67,"USD",""),"$",""))</f>
        <v>40</v>
      </c>
      <c r="N67">
        <v>2.4</v>
      </c>
      <c r="O67" s="3">
        <f t="shared" ref="O67:O130" si="8">IF(OR(N67="",N67=0),"Not Specified",N67)</f>
        <v>2.4</v>
      </c>
      <c r="P67">
        <v>1</v>
      </c>
      <c r="Q67" t="str" cm="1">
        <f t="array" ref="Q67">_xlfn.IFS(ISBLANK(P67),"Not Specified",OR(P67="N",P67=FALSE,P67="no",P67=0),"no",TRUE,"yes")</f>
        <v>yes</v>
      </c>
      <c r="R67">
        <v>64</v>
      </c>
      <c r="S67">
        <f t="shared" ref="S67:S130" si="9">IF(ISBLANK(R67),"Not Specified",IF(R67&lt;=1,R67*100,R67))</f>
        <v>64</v>
      </c>
    </row>
    <row r="68" spans="1:19">
      <c r="A68" t="s">
        <v>222</v>
      </c>
      <c r="B68" t="s">
        <v>223</v>
      </c>
      <c r="C68" t="s">
        <v>84</v>
      </c>
      <c r="D68" t="str" cm="1">
        <f t="array" ref="D68">_xlfn.IFS(OR(LOWER(C68)="f",LOWER(C68)="female"),"Female",TRUE,"Male")</f>
        <v>Female</v>
      </c>
      <c r="E68">
        <v>45</v>
      </c>
      <c r="F68">
        <f t="shared" si="5"/>
        <v>45</v>
      </c>
      <c r="G68" t="s">
        <v>114</v>
      </c>
      <c r="H68" t="s">
        <v>115</v>
      </c>
      <c r="I68" t="s">
        <v>51</v>
      </c>
      <c r="J68">
        <v>11</v>
      </c>
      <c r="K68">
        <f t="shared" si="6"/>
        <v>11</v>
      </c>
      <c r="L68" t="s">
        <v>59</v>
      </c>
      <c r="M68" t="str">
        <f t="shared" si="7"/>
        <v> 75</v>
      </c>
      <c r="N68">
        <v>4</v>
      </c>
      <c r="O68" s="3">
        <f t="shared" si="8"/>
        <v>4</v>
      </c>
      <c r="P68" t="s">
        <v>38</v>
      </c>
      <c r="Q68" t="str" cm="1">
        <f t="array" ref="Q68">_xlfn.IFS(ISBLANK(P68),"Not Specified",OR(P68="N",P68=FALSE,P68="no",P68=0),"no",TRUE,"yes")</f>
        <v>no</v>
      </c>
      <c r="R68" s="5">
        <v>1</v>
      </c>
      <c r="S68">
        <f t="shared" si="9"/>
        <v>100</v>
      </c>
    </row>
    <row r="69" spans="1:19">
      <c r="A69" t="s">
        <v>224</v>
      </c>
      <c r="B69" t="s">
        <v>225</v>
      </c>
      <c r="C69" t="s">
        <v>27</v>
      </c>
      <c r="D69" t="str" cm="1">
        <f t="array" ref="D69">_xlfn.IFS(OR(LOWER(C69)="f",LOWER(C69)="female"),"Female",TRUE,"Male")</f>
        <v>Female</v>
      </c>
      <c r="E69">
        <v>55</v>
      </c>
      <c r="F69">
        <f t="shared" si="5"/>
        <v>55</v>
      </c>
      <c r="G69" t="s">
        <v>114</v>
      </c>
      <c r="H69" t="s">
        <v>115</v>
      </c>
      <c r="I69" t="s">
        <v>42</v>
      </c>
      <c r="J69">
        <v>0</v>
      </c>
      <c r="K69">
        <f t="shared" si="6"/>
        <v>0</v>
      </c>
      <c r="L69" t="s">
        <v>43</v>
      </c>
      <c r="M69" t="str">
        <f t="shared" si="7"/>
        <v>40</v>
      </c>
      <c r="N69">
        <v>0</v>
      </c>
      <c r="O69" s="3" t="str">
        <f t="shared" si="8"/>
        <v>Not Specified</v>
      </c>
      <c r="P69" t="b">
        <v>1</v>
      </c>
      <c r="Q69" t="str" cm="1">
        <f t="array" ref="Q69">_xlfn.IFS(ISBLANK(P69),"Not Specified",OR(P69="N",P69=FALSE,P69="no",P69=0),"no",TRUE,"yes")</f>
        <v>yes</v>
      </c>
      <c r="S69" t="str">
        <f t="shared" si="9"/>
        <v>Not Specified</v>
      </c>
    </row>
    <row r="70" spans="1:19">
      <c r="A70" t="s">
        <v>226</v>
      </c>
      <c r="B70" t="s">
        <v>227</v>
      </c>
      <c r="C70" t="s">
        <v>55</v>
      </c>
      <c r="D70" t="str" cm="1">
        <f t="array" ref="D70">_xlfn.IFS(OR(LOWER(C70)="f",LOWER(C70)="female"),"Female",TRUE,"Male")</f>
        <v>Male</v>
      </c>
      <c r="F70" t="str">
        <f t="shared" si="5"/>
        <v>Not Specified</v>
      </c>
      <c r="G70" t="s">
        <v>78</v>
      </c>
      <c r="H70" t="s">
        <v>79</v>
      </c>
      <c r="I70" t="s">
        <v>80</v>
      </c>
      <c r="J70">
        <v>6</v>
      </c>
      <c r="K70">
        <f t="shared" si="6"/>
        <v>6</v>
      </c>
      <c r="L70">
        <v>100</v>
      </c>
      <c r="M70" t="str">
        <f t="shared" si="7"/>
        <v>100</v>
      </c>
      <c r="N70">
        <v>1.5</v>
      </c>
      <c r="O70" s="3">
        <f t="shared" si="8"/>
        <v>1.5</v>
      </c>
      <c r="P70" t="b">
        <v>0</v>
      </c>
      <c r="Q70" t="str" cm="1">
        <f t="array" ref="Q70">_xlfn.IFS(ISBLANK(P70),"Not Specified",OR(P70="N",P70=FALSE,P70="no",P70=0),"no",TRUE,"yes")</f>
        <v>no</v>
      </c>
      <c r="S70" t="str">
        <f t="shared" si="9"/>
        <v>Not Specified</v>
      </c>
    </row>
    <row r="71" spans="1:19">
      <c r="A71" t="s">
        <v>228</v>
      </c>
      <c r="B71" t="s">
        <v>229</v>
      </c>
      <c r="C71" t="s">
        <v>27</v>
      </c>
      <c r="D71" t="str" cm="1">
        <f t="array" ref="D71">_xlfn.IFS(OR(LOWER(C71)="f",LOWER(C71)="female"),"Female",TRUE,"Male")</f>
        <v>Female</v>
      </c>
      <c r="E71">
        <v>60</v>
      </c>
      <c r="F71">
        <f t="shared" si="5"/>
        <v>60</v>
      </c>
      <c r="G71" t="s">
        <v>182</v>
      </c>
      <c r="H71" t="s">
        <v>183</v>
      </c>
      <c r="I71" t="s">
        <v>80</v>
      </c>
      <c r="J71">
        <v>38</v>
      </c>
      <c r="K71">
        <f t="shared" si="6"/>
        <v>38</v>
      </c>
      <c r="L71" t="s">
        <v>128</v>
      </c>
      <c r="M71" t="str">
        <f t="shared" si="7"/>
        <v>20</v>
      </c>
      <c r="N71">
        <v>2</v>
      </c>
      <c r="O71" s="3">
        <f t="shared" si="8"/>
        <v>2</v>
      </c>
      <c r="P71" t="s">
        <v>166</v>
      </c>
      <c r="Q71" t="str" cm="1">
        <f t="array" ref="Q71">_xlfn.IFS(ISBLANK(P71),"Not Specified",OR(P71="N",P71=FALSE,P71="no",P71=0),"no",TRUE,"yes")</f>
        <v>no</v>
      </c>
      <c r="R71" s="5">
        <v>0.71</v>
      </c>
      <c r="S71">
        <f t="shared" si="9"/>
        <v>71</v>
      </c>
    </row>
    <row r="72" spans="1:19">
      <c r="A72" t="s">
        <v>230</v>
      </c>
      <c r="B72" t="s">
        <v>231</v>
      </c>
      <c r="C72" t="s">
        <v>21</v>
      </c>
      <c r="D72" t="str" cm="1">
        <f t="array" ref="D72">_xlfn.IFS(OR(LOWER(C72)="f",LOWER(C72)="female"),"Female",TRUE,"Male")</f>
        <v>Female</v>
      </c>
      <c r="E72">
        <v>33</v>
      </c>
      <c r="F72">
        <f t="shared" si="5"/>
        <v>33</v>
      </c>
      <c r="G72" t="s">
        <v>160</v>
      </c>
      <c r="H72" t="s">
        <v>161</v>
      </c>
      <c r="I72" t="s">
        <v>30</v>
      </c>
      <c r="J72">
        <v>11</v>
      </c>
      <c r="K72">
        <f t="shared" si="6"/>
        <v>11</v>
      </c>
      <c r="M72" t="str">
        <f t="shared" si="7"/>
        <v>Not Specified</v>
      </c>
      <c r="O72" s="3" t="str">
        <f t="shared" si="8"/>
        <v>Not Specified</v>
      </c>
      <c r="P72" t="s">
        <v>75</v>
      </c>
      <c r="Q72" t="str" cm="1">
        <f t="array" ref="Q72">_xlfn.IFS(ISBLANK(P72),"Not Specified",OR(P72="N",P72=FALSE,P72="no",P72=0),"no",TRUE,"yes")</f>
        <v>yes</v>
      </c>
      <c r="R72" s="5">
        <v>0.84</v>
      </c>
      <c r="S72">
        <f t="shared" si="9"/>
        <v>84</v>
      </c>
    </row>
    <row r="73" spans="1:19">
      <c r="A73" t="s">
        <v>232</v>
      </c>
      <c r="B73" t="s">
        <v>233</v>
      </c>
      <c r="C73" t="s">
        <v>99</v>
      </c>
      <c r="D73" t="str" cm="1">
        <f t="array" ref="D73">_xlfn.IFS(OR(LOWER(C73)="f",LOWER(C73)="female"),"Female",TRUE,"Male")</f>
        <v>Male</v>
      </c>
      <c r="E73">
        <v>60</v>
      </c>
      <c r="F73">
        <f t="shared" si="5"/>
        <v>60</v>
      </c>
      <c r="G73" t="s">
        <v>22</v>
      </c>
      <c r="H73" t="s">
        <v>23</v>
      </c>
      <c r="I73" t="s">
        <v>96</v>
      </c>
      <c r="J73">
        <v>13</v>
      </c>
      <c r="K73">
        <f t="shared" si="6"/>
        <v>13</v>
      </c>
      <c r="L73" t="s">
        <v>105</v>
      </c>
      <c r="M73" t="str">
        <f t="shared" si="7"/>
        <v> 50</v>
      </c>
      <c r="N73">
        <v>1</v>
      </c>
      <c r="O73" s="3">
        <f t="shared" si="8"/>
        <v>1</v>
      </c>
      <c r="P73" t="b">
        <v>0</v>
      </c>
      <c r="Q73" t="str" cm="1">
        <f t="array" ref="Q73">_xlfn.IFS(ISBLANK(P73),"Not Specified",OR(P73="N",P73=FALSE,P73="no",P73=0),"no",TRUE,"yes")</f>
        <v>no</v>
      </c>
      <c r="S73" t="str">
        <f t="shared" si="9"/>
        <v>Not Specified</v>
      </c>
    </row>
    <row r="74" spans="1:19">
      <c r="A74" t="s">
        <v>234</v>
      </c>
      <c r="B74" t="s">
        <v>235</v>
      </c>
      <c r="C74" t="s">
        <v>68</v>
      </c>
      <c r="D74" t="str" cm="1">
        <f t="array" ref="D74">_xlfn.IFS(OR(LOWER(C74)="f",LOWER(C74)="female"),"Female",TRUE,"Male")</f>
        <v>Male</v>
      </c>
      <c r="E74">
        <v>40</v>
      </c>
      <c r="F74">
        <f t="shared" si="5"/>
        <v>40</v>
      </c>
      <c r="G74" t="s">
        <v>65</v>
      </c>
      <c r="H74" t="s">
        <v>29</v>
      </c>
      <c r="I74" t="s">
        <v>42</v>
      </c>
      <c r="J74">
        <v>9</v>
      </c>
      <c r="K74">
        <f t="shared" si="6"/>
        <v>9</v>
      </c>
      <c r="L74" t="s">
        <v>236</v>
      </c>
      <c r="M74" t="str">
        <f t="shared" si="7"/>
        <v>100</v>
      </c>
      <c r="N74">
        <v>4.5</v>
      </c>
      <c r="O74" s="3">
        <f t="shared" si="8"/>
        <v>4.5</v>
      </c>
      <c r="P74" t="s">
        <v>75</v>
      </c>
      <c r="Q74" t="str" cm="1">
        <f t="array" ref="Q74">_xlfn.IFS(ISBLANK(P74),"Not Specified",OR(P74="N",P74=FALSE,P74="no",P74=0),"no",TRUE,"yes")</f>
        <v>yes</v>
      </c>
      <c r="R74" s="5">
        <v>0.69</v>
      </c>
      <c r="S74">
        <f t="shared" si="9"/>
        <v>69</v>
      </c>
    </row>
    <row r="75" spans="1:19">
      <c r="A75" t="s">
        <v>237</v>
      </c>
      <c r="B75" t="s">
        <v>238</v>
      </c>
      <c r="C75" t="s">
        <v>104</v>
      </c>
      <c r="D75" t="str" cm="1">
        <f t="array" ref="D75">_xlfn.IFS(OR(LOWER(C75)="f",LOWER(C75)="female"),"Female",TRUE,"Male")</f>
        <v>Male</v>
      </c>
      <c r="E75">
        <v>59</v>
      </c>
      <c r="F75">
        <f t="shared" si="5"/>
        <v>59</v>
      </c>
      <c r="G75" t="s">
        <v>28</v>
      </c>
      <c r="H75" t="s">
        <v>29</v>
      </c>
      <c r="I75" t="s">
        <v>24</v>
      </c>
      <c r="J75">
        <v>4</v>
      </c>
      <c r="K75">
        <f t="shared" si="6"/>
        <v>4</v>
      </c>
      <c r="M75" t="str">
        <f t="shared" si="7"/>
        <v>Not Specified</v>
      </c>
      <c r="N75">
        <v>1.9</v>
      </c>
      <c r="O75" s="3">
        <f t="shared" si="8"/>
        <v>1.9</v>
      </c>
      <c r="P75" t="b">
        <v>0</v>
      </c>
      <c r="Q75" t="str" cm="1">
        <f t="array" ref="Q75">_xlfn.IFS(ISBLANK(P75),"Not Specified",OR(P75="N",P75=FALSE,P75="no",P75=0),"no",TRUE,"yes")</f>
        <v>no</v>
      </c>
      <c r="R75">
        <v>88</v>
      </c>
      <c r="S75">
        <f t="shared" si="9"/>
        <v>88</v>
      </c>
    </row>
    <row r="76" spans="1:19">
      <c r="A76" t="s">
        <v>239</v>
      </c>
      <c r="B76" t="s">
        <v>240</v>
      </c>
      <c r="C76" t="s">
        <v>99</v>
      </c>
      <c r="D76" t="str" cm="1">
        <f t="array" ref="D76">_xlfn.IFS(OR(LOWER(C76)="f",LOWER(C76)="female"),"Female",TRUE,"Male")</f>
        <v>Male</v>
      </c>
      <c r="E76">
        <v>36</v>
      </c>
      <c r="F76">
        <f t="shared" si="5"/>
        <v>36</v>
      </c>
      <c r="G76" t="s">
        <v>22</v>
      </c>
      <c r="H76" t="s">
        <v>23</v>
      </c>
      <c r="I76" t="s">
        <v>121</v>
      </c>
      <c r="J76">
        <v>14</v>
      </c>
      <c r="K76">
        <f t="shared" si="6"/>
        <v>14</v>
      </c>
      <c r="L76" t="s">
        <v>236</v>
      </c>
      <c r="M76" t="str">
        <f t="shared" si="7"/>
        <v>100</v>
      </c>
      <c r="N76">
        <v>3.7</v>
      </c>
      <c r="O76" s="3">
        <f t="shared" si="8"/>
        <v>3.7</v>
      </c>
      <c r="P76">
        <v>0</v>
      </c>
      <c r="Q76" t="str" cm="1">
        <f t="array" ref="Q76">_xlfn.IFS(ISBLANK(P76),"Not Specified",OR(P76="N",P76=FALSE,P76="no",P76=0),"no",TRUE,"yes")</f>
        <v>no</v>
      </c>
      <c r="S76" t="str">
        <f t="shared" si="9"/>
        <v>Not Specified</v>
      </c>
    </row>
    <row r="77" spans="1:19">
      <c r="A77" t="s">
        <v>241</v>
      </c>
      <c r="B77" t="s">
        <v>242</v>
      </c>
      <c r="C77" t="s">
        <v>104</v>
      </c>
      <c r="D77" t="str" cm="1">
        <f t="array" ref="D77">_xlfn.IFS(OR(LOWER(C77)="f",LOWER(C77)="female"),"Female",TRUE,"Male")</f>
        <v>Male</v>
      </c>
      <c r="E77">
        <v>32</v>
      </c>
      <c r="F77">
        <f t="shared" si="5"/>
        <v>32</v>
      </c>
      <c r="G77" t="s">
        <v>100</v>
      </c>
      <c r="H77" t="s">
        <v>101</v>
      </c>
      <c r="I77" t="s">
        <v>58</v>
      </c>
      <c r="K77" t="str">
        <f t="shared" si="6"/>
        <v>Not Specified</v>
      </c>
      <c r="L77">
        <v>30</v>
      </c>
      <c r="M77" t="str">
        <f t="shared" si="7"/>
        <v>30</v>
      </c>
      <c r="N77">
        <v>1.9</v>
      </c>
      <c r="O77" s="3">
        <f t="shared" si="8"/>
        <v>1.9</v>
      </c>
      <c r="P77" t="b">
        <v>1</v>
      </c>
      <c r="Q77" t="str" cm="1">
        <f t="array" ref="Q77">_xlfn.IFS(ISBLANK(P77),"Not Specified",OR(P77="N",P77=FALSE,P77="no",P77=0),"no",TRUE,"yes")</f>
        <v>yes</v>
      </c>
      <c r="R77" s="5">
        <v>0.96</v>
      </c>
      <c r="S77">
        <f t="shared" si="9"/>
        <v>96</v>
      </c>
    </row>
    <row r="78" spans="1:19">
      <c r="A78" t="s">
        <v>243</v>
      </c>
      <c r="B78" t="s">
        <v>244</v>
      </c>
      <c r="C78" t="s">
        <v>34</v>
      </c>
      <c r="D78" t="str" cm="1">
        <f t="array" ref="D78">_xlfn.IFS(OR(LOWER(C78)="f",LOWER(C78)="female"),"Female",TRUE,"Male")</f>
        <v>Male</v>
      </c>
      <c r="E78">
        <v>59</v>
      </c>
      <c r="F78">
        <f t="shared" si="5"/>
        <v>59</v>
      </c>
      <c r="G78" t="s">
        <v>28</v>
      </c>
      <c r="H78" t="s">
        <v>29</v>
      </c>
      <c r="I78" t="s">
        <v>51</v>
      </c>
      <c r="J78">
        <v>9</v>
      </c>
      <c r="K78">
        <f t="shared" si="6"/>
        <v>9</v>
      </c>
      <c r="L78" t="s">
        <v>59</v>
      </c>
      <c r="M78" t="str">
        <f t="shared" si="7"/>
        <v> 75</v>
      </c>
      <c r="N78">
        <v>4</v>
      </c>
      <c r="O78" s="3">
        <f t="shared" si="8"/>
        <v>4</v>
      </c>
      <c r="P78">
        <v>1</v>
      </c>
      <c r="Q78" t="str" cm="1">
        <f t="array" ref="Q78">_xlfn.IFS(ISBLANK(P78),"Not Specified",OR(P78="N",P78=FALSE,P78="no",P78=0),"no",TRUE,"yes")</f>
        <v>yes</v>
      </c>
      <c r="R78">
        <v>96</v>
      </c>
      <c r="S78">
        <f t="shared" si="9"/>
        <v>96</v>
      </c>
    </row>
    <row r="79" spans="1:19">
      <c r="A79" t="s">
        <v>245</v>
      </c>
      <c r="B79" t="s">
        <v>246</v>
      </c>
      <c r="C79" t="s">
        <v>41</v>
      </c>
      <c r="D79" t="str" cm="1">
        <f t="array" ref="D79">_xlfn.IFS(OR(LOWER(C79)="f",LOWER(C79)="female"),"Female",TRUE,"Male")</f>
        <v>Female</v>
      </c>
      <c r="E79">
        <v>54</v>
      </c>
      <c r="F79">
        <f t="shared" si="5"/>
        <v>54</v>
      </c>
      <c r="G79" t="s">
        <v>197</v>
      </c>
      <c r="H79" t="s">
        <v>79</v>
      </c>
      <c r="I79" t="s">
        <v>96</v>
      </c>
      <c r="J79">
        <v>32</v>
      </c>
      <c r="K79">
        <f t="shared" si="6"/>
        <v>32</v>
      </c>
      <c r="L79" t="s">
        <v>62</v>
      </c>
      <c r="M79" t="str">
        <f t="shared" si="7"/>
        <v> 40</v>
      </c>
      <c r="N79">
        <v>1.8</v>
      </c>
      <c r="O79" s="3">
        <f t="shared" si="8"/>
        <v>1.8</v>
      </c>
      <c r="P79" t="s">
        <v>38</v>
      </c>
      <c r="Q79" t="str" cm="1">
        <f t="array" ref="Q79">_xlfn.IFS(ISBLANK(P79),"Not Specified",OR(P79="N",P79=FALSE,P79="no",P79=0),"no",TRUE,"yes")</f>
        <v>no</v>
      </c>
      <c r="S79" t="str">
        <f t="shared" si="9"/>
        <v>Not Specified</v>
      </c>
    </row>
    <row r="80" spans="1:19">
      <c r="A80" t="s">
        <v>247</v>
      </c>
      <c r="B80" t="s">
        <v>248</v>
      </c>
      <c r="C80" t="s">
        <v>21</v>
      </c>
      <c r="D80" t="str" cm="1">
        <f t="array" ref="D80">_xlfn.IFS(OR(LOWER(C80)="f",LOWER(C80)="female"),"Female",TRUE,"Male")</f>
        <v>Female</v>
      </c>
      <c r="E80">
        <v>37</v>
      </c>
      <c r="F80">
        <f t="shared" si="5"/>
        <v>37</v>
      </c>
      <c r="G80" t="s">
        <v>135</v>
      </c>
      <c r="H80" t="s">
        <v>29</v>
      </c>
      <c r="I80" t="s">
        <v>37</v>
      </c>
      <c r="J80">
        <v>9</v>
      </c>
      <c r="K80">
        <f t="shared" si="6"/>
        <v>9</v>
      </c>
      <c r="M80" t="str">
        <f t="shared" si="7"/>
        <v>Not Specified</v>
      </c>
      <c r="N80">
        <v>0</v>
      </c>
      <c r="O80" s="3" t="str">
        <f t="shared" si="8"/>
        <v>Not Specified</v>
      </c>
      <c r="P80">
        <v>1</v>
      </c>
      <c r="Q80" t="str" cm="1">
        <f t="array" ref="Q80">_xlfn.IFS(ISBLANK(P80),"Not Specified",OR(P80="N",P80=FALSE,P80="no",P80=0),"no",TRUE,"yes")</f>
        <v>yes</v>
      </c>
      <c r="R80" s="5">
        <v>0.89</v>
      </c>
      <c r="S80">
        <f t="shared" si="9"/>
        <v>89</v>
      </c>
    </row>
    <row r="81" spans="1:19">
      <c r="A81" t="s">
        <v>249</v>
      </c>
      <c r="B81" t="s">
        <v>250</v>
      </c>
      <c r="C81" t="s">
        <v>68</v>
      </c>
      <c r="D81" t="str" cm="1">
        <f t="array" ref="D81">_xlfn.IFS(OR(LOWER(C81)="f",LOWER(C81)="female"),"Female",TRUE,"Male")</f>
        <v>Male</v>
      </c>
      <c r="E81">
        <v>54</v>
      </c>
      <c r="F81">
        <f t="shared" si="5"/>
        <v>54</v>
      </c>
      <c r="G81" t="s">
        <v>100</v>
      </c>
      <c r="H81" t="s">
        <v>101</v>
      </c>
      <c r="I81" t="s">
        <v>121</v>
      </c>
      <c r="J81">
        <v>21</v>
      </c>
      <c r="K81">
        <f t="shared" si="6"/>
        <v>21</v>
      </c>
      <c r="L81" t="s">
        <v>236</v>
      </c>
      <c r="M81" t="str">
        <f t="shared" si="7"/>
        <v>100</v>
      </c>
      <c r="N81">
        <v>4.6</v>
      </c>
      <c r="O81" s="3">
        <f t="shared" si="8"/>
        <v>4.6</v>
      </c>
      <c r="P81" t="b">
        <v>0</v>
      </c>
      <c r="Q81" t="str" cm="1">
        <f t="array" ref="Q81">_xlfn.IFS(ISBLANK(P81),"Not Specified",OR(P81="N",P81=FALSE,P81="no",P81=0),"no",TRUE,"yes")</f>
        <v>no</v>
      </c>
      <c r="S81" t="str">
        <f t="shared" si="9"/>
        <v>Not Specified</v>
      </c>
    </row>
    <row r="82" spans="1:19">
      <c r="A82" t="s">
        <v>251</v>
      </c>
      <c r="B82" t="s">
        <v>252</v>
      </c>
      <c r="C82" t="s">
        <v>84</v>
      </c>
      <c r="D82" t="str" cm="1">
        <f t="array" ref="D82">_xlfn.IFS(OR(LOWER(C82)="f",LOWER(C82)="female"),"Female",TRUE,"Male")</f>
        <v>Female</v>
      </c>
      <c r="E82">
        <v>33</v>
      </c>
      <c r="F82">
        <f t="shared" si="5"/>
        <v>33</v>
      </c>
      <c r="G82" t="s">
        <v>78</v>
      </c>
      <c r="H82" t="s">
        <v>79</v>
      </c>
      <c r="I82" t="s">
        <v>80</v>
      </c>
      <c r="J82">
        <v>12</v>
      </c>
      <c r="K82">
        <f t="shared" si="6"/>
        <v>12</v>
      </c>
      <c r="L82">
        <v>100</v>
      </c>
      <c r="M82" t="str">
        <f t="shared" si="7"/>
        <v>100</v>
      </c>
      <c r="N82">
        <v>3.6</v>
      </c>
      <c r="O82" s="3">
        <f t="shared" si="8"/>
        <v>3.6</v>
      </c>
      <c r="P82">
        <v>0</v>
      </c>
      <c r="Q82" t="str" cm="1">
        <f t="array" ref="Q82">_xlfn.IFS(ISBLANK(P82),"Not Specified",OR(P82="N",P82=FALSE,P82="no",P82=0),"no",TRUE,"yes")</f>
        <v>no</v>
      </c>
      <c r="R82" s="5">
        <v>0.63</v>
      </c>
      <c r="S82">
        <f t="shared" si="9"/>
        <v>63</v>
      </c>
    </row>
    <row r="83" spans="1:19">
      <c r="A83" t="s">
        <v>253</v>
      </c>
      <c r="B83" t="s">
        <v>254</v>
      </c>
      <c r="C83" t="s">
        <v>21</v>
      </c>
      <c r="D83" t="str" cm="1">
        <f t="array" ref="D83">_xlfn.IFS(OR(LOWER(C83)="f",LOWER(C83)="female"),"Female",TRUE,"Male")</f>
        <v>Female</v>
      </c>
      <c r="E83">
        <v>25</v>
      </c>
      <c r="F83">
        <f t="shared" si="5"/>
        <v>25</v>
      </c>
      <c r="G83" t="s">
        <v>146</v>
      </c>
      <c r="H83" t="s">
        <v>147</v>
      </c>
      <c r="I83" t="s">
        <v>42</v>
      </c>
      <c r="J83">
        <v>7</v>
      </c>
      <c r="K83">
        <f t="shared" si="6"/>
        <v>7</v>
      </c>
      <c r="L83" t="s">
        <v>62</v>
      </c>
      <c r="M83" t="str">
        <f t="shared" si="7"/>
        <v> 40</v>
      </c>
      <c r="N83">
        <v>4.4</v>
      </c>
      <c r="O83" s="3">
        <f t="shared" si="8"/>
        <v>4.4</v>
      </c>
      <c r="Q83" t="str" cm="1">
        <f t="array" ref="Q83">_xlfn.IFS(ISBLANK(P83),"Not Specified",OR(P83="N",P83=FALSE,P83="no",P83=0),"no",TRUE,"yes")</f>
        <v>Not Specified</v>
      </c>
      <c r="R83">
        <v>81</v>
      </c>
      <c r="S83">
        <f t="shared" si="9"/>
        <v>81</v>
      </c>
    </row>
    <row r="84" spans="1:19">
      <c r="A84" t="s">
        <v>255</v>
      </c>
      <c r="B84" t="s">
        <v>256</v>
      </c>
      <c r="C84" t="s">
        <v>104</v>
      </c>
      <c r="D84" t="str" cm="1">
        <f t="array" ref="D84">_xlfn.IFS(OR(LOWER(C84)="f",LOWER(C84)="female"),"Female",TRUE,"Male")</f>
        <v>Male</v>
      </c>
      <c r="F84" t="str">
        <f t="shared" si="5"/>
        <v>Not Specified</v>
      </c>
      <c r="G84" t="s">
        <v>182</v>
      </c>
      <c r="H84" t="s">
        <v>183</v>
      </c>
      <c r="I84" t="s">
        <v>96</v>
      </c>
      <c r="J84">
        <v>3</v>
      </c>
      <c r="K84">
        <f t="shared" si="6"/>
        <v>3</v>
      </c>
      <c r="L84">
        <v>40</v>
      </c>
      <c r="M84" t="str">
        <f t="shared" si="7"/>
        <v>40</v>
      </c>
      <c r="N84">
        <v>4.6</v>
      </c>
      <c r="O84" s="3">
        <f t="shared" si="8"/>
        <v>4.6</v>
      </c>
      <c r="P84" t="s">
        <v>38</v>
      </c>
      <c r="Q84" t="str" cm="1">
        <f t="array" ref="Q84">_xlfn.IFS(ISBLANK(P84),"Not Specified",OR(P84="N",P84=FALSE,P84="no",P84=0),"no",TRUE,"yes")</f>
        <v>no</v>
      </c>
      <c r="R84" s="5">
        <v>0.74</v>
      </c>
      <c r="S84">
        <f t="shared" si="9"/>
        <v>74</v>
      </c>
    </row>
    <row r="85" spans="1:19">
      <c r="A85" t="s">
        <v>257</v>
      </c>
      <c r="B85" t="s">
        <v>258</v>
      </c>
      <c r="C85" t="s">
        <v>34</v>
      </c>
      <c r="D85" t="str" cm="1">
        <f t="array" ref="D85">_xlfn.IFS(OR(LOWER(C85)="f",LOWER(C85)="female"),"Female",TRUE,"Male")</f>
        <v>Male</v>
      </c>
      <c r="E85">
        <v>35</v>
      </c>
      <c r="F85">
        <f t="shared" si="5"/>
        <v>35</v>
      </c>
      <c r="G85" t="s">
        <v>119</v>
      </c>
      <c r="H85" t="s">
        <v>120</v>
      </c>
      <c r="I85" t="s">
        <v>42</v>
      </c>
      <c r="J85">
        <v>5</v>
      </c>
      <c r="K85">
        <f t="shared" si="6"/>
        <v>5</v>
      </c>
      <c r="L85" t="s">
        <v>177</v>
      </c>
      <c r="M85" t="str">
        <f t="shared" si="7"/>
        <v>75</v>
      </c>
      <c r="N85">
        <v>3.2</v>
      </c>
      <c r="O85" s="3">
        <f t="shared" si="8"/>
        <v>3.2</v>
      </c>
      <c r="P85" t="b">
        <v>0</v>
      </c>
      <c r="Q85" t="str" cm="1">
        <f t="array" ref="Q85">_xlfn.IFS(ISBLANK(P85),"Not Specified",OR(P85="N",P85=FALSE,P85="no",P85=0),"no",TRUE,"yes")</f>
        <v>no</v>
      </c>
      <c r="R85" s="5">
        <v>0.72</v>
      </c>
      <c r="S85">
        <f t="shared" si="9"/>
        <v>72</v>
      </c>
    </row>
    <row r="86" spans="1:19">
      <c r="A86" t="s">
        <v>259</v>
      </c>
      <c r="B86" t="s">
        <v>260</v>
      </c>
      <c r="C86" t="s">
        <v>104</v>
      </c>
      <c r="D86" t="str" cm="1">
        <f t="array" ref="D86">_xlfn.IFS(OR(LOWER(C86)="f",LOWER(C86)="female"),"Female",TRUE,"Male")</f>
        <v>Male</v>
      </c>
      <c r="E86">
        <v>59</v>
      </c>
      <c r="F86">
        <f t="shared" si="5"/>
        <v>59</v>
      </c>
      <c r="G86" t="s">
        <v>119</v>
      </c>
      <c r="H86" t="s">
        <v>120</v>
      </c>
      <c r="I86" t="s">
        <v>51</v>
      </c>
      <c r="J86">
        <v>30</v>
      </c>
      <c r="K86">
        <f t="shared" si="6"/>
        <v>30</v>
      </c>
      <c r="L86" t="s">
        <v>43</v>
      </c>
      <c r="M86" t="str">
        <f t="shared" si="7"/>
        <v>40</v>
      </c>
      <c r="N86">
        <v>0</v>
      </c>
      <c r="O86" s="3" t="str">
        <f t="shared" si="8"/>
        <v>Not Specified</v>
      </c>
      <c r="P86" t="b">
        <v>1</v>
      </c>
      <c r="Q86" t="str" cm="1">
        <f t="array" ref="Q86">_xlfn.IFS(ISBLANK(P86),"Not Specified",OR(P86="N",P86=FALSE,P86="no",P86=0),"no",TRUE,"yes")</f>
        <v>yes</v>
      </c>
      <c r="S86" t="str">
        <f t="shared" si="9"/>
        <v>Not Specified</v>
      </c>
    </row>
    <row r="87" spans="1:19">
      <c r="A87" t="s">
        <v>261</v>
      </c>
      <c r="B87" t="s">
        <v>262</v>
      </c>
      <c r="C87" t="s">
        <v>46</v>
      </c>
      <c r="D87" t="str" cm="1">
        <f t="array" ref="D87">_xlfn.IFS(OR(LOWER(C87)="f",LOWER(C87)="female"),"Female",TRUE,"Male")</f>
        <v>Female</v>
      </c>
      <c r="E87">
        <v>21</v>
      </c>
      <c r="F87">
        <f t="shared" si="5"/>
        <v>21</v>
      </c>
      <c r="G87" t="s">
        <v>182</v>
      </c>
      <c r="H87" t="s">
        <v>183</v>
      </c>
      <c r="I87" t="s">
        <v>96</v>
      </c>
      <c r="J87">
        <v>2</v>
      </c>
      <c r="K87">
        <f t="shared" si="6"/>
        <v>2</v>
      </c>
      <c r="L87">
        <v>100</v>
      </c>
      <c r="M87" t="str">
        <f t="shared" si="7"/>
        <v>100</v>
      </c>
      <c r="N87">
        <v>2.6</v>
      </c>
      <c r="O87" s="3">
        <f t="shared" si="8"/>
        <v>2.6</v>
      </c>
      <c r="P87" t="s">
        <v>81</v>
      </c>
      <c r="Q87" t="str" cm="1">
        <f t="array" ref="Q87">_xlfn.IFS(ISBLANK(P87),"Not Specified",OR(P87="N",P87=FALSE,P87="no",P87=0),"no",TRUE,"yes")</f>
        <v>yes</v>
      </c>
      <c r="R87" s="5">
        <v>0.85</v>
      </c>
      <c r="S87">
        <f t="shared" si="9"/>
        <v>85</v>
      </c>
    </row>
    <row r="88" spans="1:19">
      <c r="A88" t="s">
        <v>263</v>
      </c>
      <c r="B88" t="s">
        <v>264</v>
      </c>
      <c r="C88" t="s">
        <v>99</v>
      </c>
      <c r="D88" t="str" cm="1">
        <f t="array" ref="D88">_xlfn.IFS(OR(LOWER(C88)="f",LOWER(C88)="female"),"Female",TRUE,"Male")</f>
        <v>Male</v>
      </c>
      <c r="E88">
        <v>25</v>
      </c>
      <c r="F88">
        <f t="shared" si="5"/>
        <v>25</v>
      </c>
      <c r="G88" t="s">
        <v>65</v>
      </c>
      <c r="H88" t="s">
        <v>29</v>
      </c>
      <c r="I88" t="s">
        <v>30</v>
      </c>
      <c r="J88">
        <v>2</v>
      </c>
      <c r="K88">
        <f t="shared" si="6"/>
        <v>2</v>
      </c>
      <c r="L88" t="s">
        <v>177</v>
      </c>
      <c r="M88" t="str">
        <f t="shared" si="7"/>
        <v>75</v>
      </c>
      <c r="N88">
        <v>3.7</v>
      </c>
      <c r="O88" s="3">
        <f t="shared" si="8"/>
        <v>3.7</v>
      </c>
      <c r="P88" t="s">
        <v>38</v>
      </c>
      <c r="Q88" t="str" cm="1">
        <f t="array" ref="Q88">_xlfn.IFS(ISBLANK(P88),"Not Specified",OR(P88="N",P88=FALSE,P88="no",P88=0),"no",TRUE,"yes")</f>
        <v>no</v>
      </c>
      <c r="S88" t="str">
        <f t="shared" si="9"/>
        <v>Not Specified</v>
      </c>
    </row>
    <row r="89" spans="1:19">
      <c r="A89" t="s">
        <v>265</v>
      </c>
      <c r="B89" t="s">
        <v>266</v>
      </c>
      <c r="C89" t="s">
        <v>21</v>
      </c>
      <c r="D89" t="str" cm="1">
        <f t="array" ref="D89">_xlfn.IFS(OR(LOWER(C89)="f",LOWER(C89)="female"),"Female",TRUE,"Male")</f>
        <v>Female</v>
      </c>
      <c r="E89">
        <v>38</v>
      </c>
      <c r="F89">
        <f t="shared" si="5"/>
        <v>38</v>
      </c>
      <c r="G89" t="s">
        <v>186</v>
      </c>
      <c r="H89" t="s">
        <v>79</v>
      </c>
      <c r="I89" t="s">
        <v>42</v>
      </c>
      <c r="J89">
        <v>19</v>
      </c>
      <c r="K89">
        <f t="shared" si="6"/>
        <v>19</v>
      </c>
      <c r="L89">
        <v>75</v>
      </c>
      <c r="M89" t="str">
        <f t="shared" si="7"/>
        <v>75</v>
      </c>
      <c r="N89">
        <v>2.3</v>
      </c>
      <c r="O89" s="3">
        <f t="shared" si="8"/>
        <v>2.3</v>
      </c>
      <c r="P89" t="b">
        <v>0</v>
      </c>
      <c r="Q89" t="str" cm="1">
        <f t="array" ref="Q89">_xlfn.IFS(ISBLANK(P89),"Not Specified",OR(P89="N",P89=FALSE,P89="no",P89=0),"no",TRUE,"yes")</f>
        <v>no</v>
      </c>
      <c r="R89" s="5">
        <v>0.61</v>
      </c>
      <c r="S89">
        <f t="shared" si="9"/>
        <v>61</v>
      </c>
    </row>
    <row r="90" spans="1:19">
      <c r="A90" t="s">
        <v>267</v>
      </c>
      <c r="B90" t="s">
        <v>268</v>
      </c>
      <c r="C90" t="s">
        <v>104</v>
      </c>
      <c r="D90" t="str" cm="1">
        <f t="array" ref="D90">_xlfn.IFS(OR(LOWER(C90)="f",LOWER(C90)="female"),"Female",TRUE,"Male")</f>
        <v>Male</v>
      </c>
      <c r="E90">
        <v>57</v>
      </c>
      <c r="F90">
        <f t="shared" si="5"/>
        <v>57</v>
      </c>
      <c r="G90" t="s">
        <v>131</v>
      </c>
      <c r="H90" t="s">
        <v>132</v>
      </c>
      <c r="I90" t="s">
        <v>51</v>
      </c>
      <c r="J90">
        <v>16</v>
      </c>
      <c r="K90">
        <f t="shared" si="6"/>
        <v>16</v>
      </c>
      <c r="L90">
        <v>100</v>
      </c>
      <c r="M90" t="str">
        <f t="shared" si="7"/>
        <v>100</v>
      </c>
      <c r="N90">
        <v>3.1</v>
      </c>
      <c r="O90" s="3">
        <f t="shared" si="8"/>
        <v>3.1</v>
      </c>
      <c r="P90" t="b">
        <v>0</v>
      </c>
      <c r="Q90" t="str" cm="1">
        <f t="array" ref="Q90">_xlfn.IFS(ISBLANK(P90),"Not Specified",OR(P90="N",P90=FALSE,P90="no",P90=0),"no",TRUE,"yes")</f>
        <v>no</v>
      </c>
      <c r="S90" t="str">
        <f t="shared" si="9"/>
        <v>Not Specified</v>
      </c>
    </row>
    <row r="91" spans="1:19">
      <c r="A91" t="s">
        <v>269</v>
      </c>
      <c r="B91" t="s">
        <v>270</v>
      </c>
      <c r="C91" t="s">
        <v>55</v>
      </c>
      <c r="D91" t="str" cm="1">
        <f t="array" ref="D91">_xlfn.IFS(OR(LOWER(C91)="f",LOWER(C91)="female"),"Female",TRUE,"Male")</f>
        <v>Male</v>
      </c>
      <c r="E91">
        <v>32</v>
      </c>
      <c r="F91">
        <f t="shared" si="5"/>
        <v>32</v>
      </c>
      <c r="G91" t="s">
        <v>100</v>
      </c>
      <c r="H91" t="s">
        <v>101</v>
      </c>
      <c r="I91" t="s">
        <v>30</v>
      </c>
      <c r="J91">
        <v>10</v>
      </c>
      <c r="K91">
        <f t="shared" si="6"/>
        <v>10</v>
      </c>
      <c r="L91" t="s">
        <v>128</v>
      </c>
      <c r="M91" t="str">
        <f t="shared" si="7"/>
        <v>20</v>
      </c>
      <c r="N91">
        <v>2.4</v>
      </c>
      <c r="O91" s="3">
        <f t="shared" si="8"/>
        <v>2.4</v>
      </c>
      <c r="P91">
        <v>0</v>
      </c>
      <c r="Q91" t="str" cm="1">
        <f t="array" ref="Q91">_xlfn.IFS(ISBLANK(P91),"Not Specified",OR(P91="N",P91=FALSE,P91="no",P91=0),"no",TRUE,"yes")</f>
        <v>no</v>
      </c>
      <c r="R91" s="5">
        <v>0.86</v>
      </c>
      <c r="S91">
        <f t="shared" si="9"/>
        <v>86</v>
      </c>
    </row>
    <row r="92" spans="1:19">
      <c r="A92" t="s">
        <v>271</v>
      </c>
      <c r="B92" t="s">
        <v>272</v>
      </c>
      <c r="C92" t="s">
        <v>34</v>
      </c>
      <c r="D92" t="str" cm="1">
        <f t="array" ref="D92">_xlfn.IFS(OR(LOWER(C92)="f",LOWER(C92)="female"),"Female",TRUE,"Male")</f>
        <v>Male</v>
      </c>
      <c r="E92">
        <v>21</v>
      </c>
      <c r="F92">
        <f t="shared" si="5"/>
        <v>21</v>
      </c>
      <c r="G92" t="s">
        <v>22</v>
      </c>
      <c r="H92" t="s">
        <v>23</v>
      </c>
      <c r="I92" t="s">
        <v>96</v>
      </c>
      <c r="J92">
        <v>2</v>
      </c>
      <c r="K92">
        <f t="shared" si="6"/>
        <v>2</v>
      </c>
      <c r="L92" t="s">
        <v>31</v>
      </c>
      <c r="M92" t="str">
        <f t="shared" si="7"/>
        <v> 100</v>
      </c>
      <c r="N92">
        <v>1.6</v>
      </c>
      <c r="O92" s="3">
        <f t="shared" si="8"/>
        <v>1.6</v>
      </c>
      <c r="P92" t="s">
        <v>75</v>
      </c>
      <c r="Q92" t="str" cm="1">
        <f t="array" ref="Q92">_xlfn.IFS(ISBLANK(P92),"Not Specified",OR(P92="N",P92=FALSE,P92="no",P92=0),"no",TRUE,"yes")</f>
        <v>yes</v>
      </c>
      <c r="R92" s="5">
        <v>0.97</v>
      </c>
      <c r="S92">
        <f t="shared" si="9"/>
        <v>97</v>
      </c>
    </row>
    <row r="93" spans="1:19">
      <c r="A93" t="s">
        <v>273</v>
      </c>
      <c r="B93" t="s">
        <v>274</v>
      </c>
      <c r="C93" t="s">
        <v>84</v>
      </c>
      <c r="D93" t="str" cm="1">
        <f t="array" ref="D93">_xlfn.IFS(OR(LOWER(C93)="f",LOWER(C93)="female"),"Female",TRUE,"Male")</f>
        <v>Female</v>
      </c>
      <c r="E93">
        <v>57</v>
      </c>
      <c r="F93">
        <f t="shared" si="5"/>
        <v>57</v>
      </c>
      <c r="G93" t="s">
        <v>135</v>
      </c>
      <c r="H93" t="s">
        <v>29</v>
      </c>
      <c r="I93" t="s">
        <v>85</v>
      </c>
      <c r="J93">
        <v>18</v>
      </c>
      <c r="K93">
        <f t="shared" si="6"/>
        <v>18</v>
      </c>
      <c r="L93">
        <v>50</v>
      </c>
      <c r="M93" t="str">
        <f t="shared" si="7"/>
        <v>50</v>
      </c>
      <c r="N93">
        <v>2.4</v>
      </c>
      <c r="O93" s="3">
        <f t="shared" si="8"/>
        <v>2.4</v>
      </c>
      <c r="P93">
        <v>1</v>
      </c>
      <c r="Q93" t="str" cm="1">
        <f t="array" ref="Q93">_xlfn.IFS(ISBLANK(P93),"Not Specified",OR(P93="N",P93=FALSE,P93="no",P93=0),"no",TRUE,"yes")</f>
        <v>yes</v>
      </c>
      <c r="R93" s="5">
        <v>0.63</v>
      </c>
      <c r="S93">
        <f t="shared" si="9"/>
        <v>63</v>
      </c>
    </row>
    <row r="94" spans="1:19">
      <c r="A94" t="s">
        <v>275</v>
      </c>
      <c r="B94" t="s">
        <v>276</v>
      </c>
      <c r="C94" t="s">
        <v>34</v>
      </c>
      <c r="D94" t="str" cm="1">
        <f t="array" ref="D94">_xlfn.IFS(OR(LOWER(C94)="f",LOWER(C94)="female"),"Female",TRUE,"Male")</f>
        <v>Male</v>
      </c>
      <c r="E94">
        <v>53</v>
      </c>
      <c r="F94">
        <f t="shared" si="5"/>
        <v>53</v>
      </c>
      <c r="G94" t="s">
        <v>182</v>
      </c>
      <c r="H94" t="s">
        <v>183</v>
      </c>
      <c r="I94" t="s">
        <v>80</v>
      </c>
      <c r="J94">
        <v>21</v>
      </c>
      <c r="K94">
        <f t="shared" si="6"/>
        <v>21</v>
      </c>
      <c r="L94" t="s">
        <v>31</v>
      </c>
      <c r="M94" t="str">
        <f t="shared" si="7"/>
        <v> 100</v>
      </c>
      <c r="O94" s="3" t="str">
        <f t="shared" si="8"/>
        <v>Not Specified</v>
      </c>
      <c r="P94" t="s">
        <v>81</v>
      </c>
      <c r="Q94" t="str" cm="1">
        <f t="array" ref="Q94">_xlfn.IFS(ISBLANK(P94),"Not Specified",OR(P94="N",P94=FALSE,P94="no",P94=0),"no",TRUE,"yes")</f>
        <v>yes</v>
      </c>
      <c r="R94" s="5">
        <v>0.97</v>
      </c>
      <c r="S94">
        <f t="shared" si="9"/>
        <v>97</v>
      </c>
    </row>
    <row r="95" spans="1:19">
      <c r="A95" t="s">
        <v>277</v>
      </c>
      <c r="B95" t="s">
        <v>278</v>
      </c>
      <c r="C95" t="s">
        <v>99</v>
      </c>
      <c r="D95" t="str" cm="1">
        <f t="array" ref="D95">_xlfn.IFS(OR(LOWER(C95)="f",LOWER(C95)="female"),"Female",TRUE,"Male")</f>
        <v>Male</v>
      </c>
      <c r="E95">
        <v>35</v>
      </c>
      <c r="F95">
        <f t="shared" si="5"/>
        <v>35</v>
      </c>
      <c r="G95" t="s">
        <v>131</v>
      </c>
      <c r="H95" t="s">
        <v>132</v>
      </c>
      <c r="I95" t="s">
        <v>24</v>
      </c>
      <c r="J95">
        <v>3</v>
      </c>
      <c r="K95">
        <f t="shared" si="6"/>
        <v>3</v>
      </c>
      <c r="L95" t="s">
        <v>116</v>
      </c>
      <c r="M95" t="str">
        <f t="shared" si="7"/>
        <v> 30</v>
      </c>
      <c r="N95">
        <v>3.8</v>
      </c>
      <c r="O95" s="3">
        <f t="shared" si="8"/>
        <v>3.8</v>
      </c>
      <c r="P95" t="s">
        <v>75</v>
      </c>
      <c r="Q95" t="str" cm="1">
        <f t="array" ref="Q95">_xlfn.IFS(ISBLANK(P95),"Not Specified",OR(P95="N",P95=FALSE,P95="no",P95=0),"no",TRUE,"yes")</f>
        <v>yes</v>
      </c>
      <c r="R95" s="5">
        <v>0.81</v>
      </c>
      <c r="S95">
        <f t="shared" si="9"/>
        <v>81</v>
      </c>
    </row>
    <row r="96" spans="1:19">
      <c r="A96" t="s">
        <v>279</v>
      </c>
      <c r="B96" t="s">
        <v>280</v>
      </c>
      <c r="C96" t="s">
        <v>21</v>
      </c>
      <c r="D96" t="str" cm="1">
        <f t="array" ref="D96">_xlfn.IFS(OR(LOWER(C96)="f",LOWER(C96)="female"),"Female",TRUE,"Male")</f>
        <v>Female</v>
      </c>
      <c r="E96">
        <v>54</v>
      </c>
      <c r="F96">
        <f t="shared" si="5"/>
        <v>54</v>
      </c>
      <c r="G96" t="s">
        <v>182</v>
      </c>
      <c r="H96" t="s">
        <v>183</v>
      </c>
      <c r="I96" t="s">
        <v>121</v>
      </c>
      <c r="J96">
        <v>17</v>
      </c>
      <c r="K96">
        <f t="shared" si="6"/>
        <v>17</v>
      </c>
      <c r="L96">
        <v>20</v>
      </c>
      <c r="M96" t="str">
        <f t="shared" si="7"/>
        <v>20</v>
      </c>
      <c r="N96">
        <v>1.7</v>
      </c>
      <c r="O96" s="3">
        <f t="shared" si="8"/>
        <v>1.7</v>
      </c>
      <c r="P96">
        <v>0</v>
      </c>
      <c r="Q96" t="str" cm="1">
        <f t="array" ref="Q96">_xlfn.IFS(ISBLANK(P96),"Not Specified",OR(P96="N",P96=FALSE,P96="no",P96=0),"no",TRUE,"yes")</f>
        <v>no</v>
      </c>
      <c r="R96" s="5">
        <v>0.69</v>
      </c>
      <c r="S96">
        <f t="shared" si="9"/>
        <v>69</v>
      </c>
    </row>
    <row r="97" spans="1:19">
      <c r="A97" t="s">
        <v>281</v>
      </c>
      <c r="B97" t="s">
        <v>282</v>
      </c>
      <c r="C97" t="s">
        <v>27</v>
      </c>
      <c r="D97" t="str" cm="1">
        <f t="array" ref="D97">_xlfn.IFS(OR(LOWER(C97)="f",LOWER(C97)="female"),"Female",TRUE,"Male")</f>
        <v>Female</v>
      </c>
      <c r="E97">
        <v>36</v>
      </c>
      <c r="F97">
        <f t="shared" si="5"/>
        <v>36</v>
      </c>
      <c r="G97" t="s">
        <v>22</v>
      </c>
      <c r="H97" t="s">
        <v>23</v>
      </c>
      <c r="I97" t="s">
        <v>80</v>
      </c>
      <c r="J97">
        <v>0</v>
      </c>
      <c r="K97">
        <f t="shared" si="6"/>
        <v>0</v>
      </c>
      <c r="L97">
        <v>20</v>
      </c>
      <c r="M97" t="str">
        <f t="shared" si="7"/>
        <v>20</v>
      </c>
      <c r="N97">
        <v>1.3</v>
      </c>
      <c r="O97" s="3">
        <f t="shared" si="8"/>
        <v>1.3</v>
      </c>
      <c r="P97" t="s">
        <v>81</v>
      </c>
      <c r="Q97" t="str" cm="1">
        <f t="array" ref="Q97">_xlfn.IFS(ISBLANK(P97),"Not Specified",OR(P97="N",P97=FALSE,P97="no",P97=0),"no",TRUE,"yes")</f>
        <v>yes</v>
      </c>
      <c r="R97" s="5">
        <v>0.64</v>
      </c>
      <c r="S97">
        <f t="shared" si="9"/>
        <v>64</v>
      </c>
    </row>
    <row r="98" spans="1:19">
      <c r="A98" t="s">
        <v>283</v>
      </c>
      <c r="B98" t="s">
        <v>284</v>
      </c>
      <c r="C98" t="s">
        <v>21</v>
      </c>
      <c r="D98" t="str" cm="1">
        <f t="array" ref="D98">_xlfn.IFS(OR(LOWER(C98)="f",LOWER(C98)="female"),"Female",TRUE,"Male")</f>
        <v>Female</v>
      </c>
      <c r="E98">
        <v>49</v>
      </c>
      <c r="F98">
        <f t="shared" si="5"/>
        <v>49</v>
      </c>
      <c r="G98" t="s">
        <v>197</v>
      </c>
      <c r="H98" t="s">
        <v>79</v>
      </c>
      <c r="I98" t="s">
        <v>85</v>
      </c>
      <c r="J98">
        <v>25</v>
      </c>
      <c r="K98">
        <f t="shared" si="6"/>
        <v>25</v>
      </c>
      <c r="L98">
        <v>50</v>
      </c>
      <c r="M98" t="str">
        <f t="shared" si="7"/>
        <v>50</v>
      </c>
      <c r="N98">
        <v>5</v>
      </c>
      <c r="O98" s="3">
        <f t="shared" si="8"/>
        <v>5</v>
      </c>
      <c r="P98" t="s">
        <v>38</v>
      </c>
      <c r="Q98" t="str" cm="1">
        <f t="array" ref="Q98">_xlfn.IFS(ISBLANK(P98),"Not Specified",OR(P98="N",P98=FALSE,P98="no",P98=0),"no",TRUE,"yes")</f>
        <v>no</v>
      </c>
      <c r="R98" s="5">
        <v>0.77</v>
      </c>
      <c r="S98">
        <f t="shared" si="9"/>
        <v>77</v>
      </c>
    </row>
    <row r="99" spans="1:19">
      <c r="A99" t="s">
        <v>285</v>
      </c>
      <c r="B99" t="s">
        <v>286</v>
      </c>
      <c r="C99" t="s">
        <v>104</v>
      </c>
      <c r="D99" t="str" cm="1">
        <f t="array" ref="D99">_xlfn.IFS(OR(LOWER(C99)="f",LOWER(C99)="female"),"Female",TRUE,"Male")</f>
        <v>Male</v>
      </c>
      <c r="E99">
        <v>37</v>
      </c>
      <c r="F99">
        <f t="shared" si="5"/>
        <v>37</v>
      </c>
      <c r="G99" t="s">
        <v>65</v>
      </c>
      <c r="H99" t="s">
        <v>29</v>
      </c>
      <c r="I99" t="s">
        <v>24</v>
      </c>
      <c r="J99">
        <v>17</v>
      </c>
      <c r="K99">
        <f t="shared" si="6"/>
        <v>17</v>
      </c>
      <c r="L99">
        <v>20</v>
      </c>
      <c r="M99" t="str">
        <f t="shared" si="7"/>
        <v>20</v>
      </c>
      <c r="N99">
        <v>3.3</v>
      </c>
      <c r="O99" s="3">
        <f t="shared" si="8"/>
        <v>3.3</v>
      </c>
      <c r="P99">
        <v>0</v>
      </c>
      <c r="Q99" t="str" cm="1">
        <f t="array" ref="Q99">_xlfn.IFS(ISBLANK(P99),"Not Specified",OR(P99="N",P99=FALSE,P99="no",P99=0),"no",TRUE,"yes")</f>
        <v>no</v>
      </c>
      <c r="R99">
        <v>96</v>
      </c>
      <c r="S99">
        <f t="shared" si="9"/>
        <v>96</v>
      </c>
    </row>
    <row r="100" spans="1:19">
      <c r="A100" t="s">
        <v>287</v>
      </c>
      <c r="B100" t="s">
        <v>288</v>
      </c>
      <c r="C100" t="s">
        <v>68</v>
      </c>
      <c r="D100" t="str" cm="1">
        <f t="array" ref="D100">_xlfn.IFS(OR(LOWER(C100)="f",LOWER(C100)="female"),"Female",TRUE,"Male")</f>
        <v>Male</v>
      </c>
      <c r="F100" t="str">
        <f t="shared" si="5"/>
        <v>Not Specified</v>
      </c>
      <c r="G100" t="s">
        <v>65</v>
      </c>
      <c r="H100" t="s">
        <v>29</v>
      </c>
      <c r="I100" t="s">
        <v>80</v>
      </c>
      <c r="J100">
        <v>5</v>
      </c>
      <c r="K100">
        <f t="shared" si="6"/>
        <v>5</v>
      </c>
      <c r="L100" t="s">
        <v>128</v>
      </c>
      <c r="M100" t="str">
        <f t="shared" si="7"/>
        <v>20</v>
      </c>
      <c r="N100">
        <v>1.1</v>
      </c>
      <c r="O100" s="3">
        <f t="shared" si="8"/>
        <v>1.1</v>
      </c>
      <c r="P100" t="s">
        <v>166</v>
      </c>
      <c r="Q100" t="str" cm="1">
        <f t="array" ref="Q100">_xlfn.IFS(ISBLANK(P100),"Not Specified",OR(P100="N",P100=FALSE,P100="no",P100=0),"no",TRUE,"yes")</f>
        <v>no</v>
      </c>
      <c r="R100" s="5">
        <v>0.74</v>
      </c>
      <c r="S100">
        <f t="shared" si="9"/>
        <v>74</v>
      </c>
    </row>
    <row r="101" spans="1:19">
      <c r="A101" t="s">
        <v>289</v>
      </c>
      <c r="B101" t="s">
        <v>290</v>
      </c>
      <c r="C101" t="s">
        <v>55</v>
      </c>
      <c r="D101" t="str" cm="1">
        <f t="array" ref="D101">_xlfn.IFS(OR(LOWER(C101)="f",LOWER(C101)="female"),"Female",TRUE,"Male")</f>
        <v>Male</v>
      </c>
      <c r="E101">
        <v>32</v>
      </c>
      <c r="F101">
        <f t="shared" si="5"/>
        <v>32</v>
      </c>
      <c r="G101" t="s">
        <v>146</v>
      </c>
      <c r="H101" t="s">
        <v>147</v>
      </c>
      <c r="I101" t="s">
        <v>80</v>
      </c>
      <c r="J101">
        <v>10</v>
      </c>
      <c r="K101">
        <f t="shared" si="6"/>
        <v>10</v>
      </c>
      <c r="L101">
        <v>50</v>
      </c>
      <c r="M101" t="str">
        <f t="shared" si="7"/>
        <v>50</v>
      </c>
      <c r="N101">
        <v>1.2</v>
      </c>
      <c r="O101" s="3">
        <f t="shared" si="8"/>
        <v>1.2</v>
      </c>
      <c r="P101" t="b">
        <v>0</v>
      </c>
      <c r="Q101" t="str" cm="1">
        <f t="array" ref="Q101">_xlfn.IFS(ISBLANK(P101),"Not Specified",OR(P101="N",P101=FALSE,P101="no",P101=0),"no",TRUE,"yes")</f>
        <v>no</v>
      </c>
      <c r="R101" s="5">
        <v>0.89</v>
      </c>
      <c r="S101">
        <f t="shared" si="9"/>
        <v>89</v>
      </c>
    </row>
    <row r="102" spans="1:19">
      <c r="A102" t="s">
        <v>291</v>
      </c>
      <c r="B102" t="s">
        <v>292</v>
      </c>
      <c r="C102" t="s">
        <v>55</v>
      </c>
      <c r="D102" t="str" cm="1">
        <f t="array" ref="D102">_xlfn.IFS(OR(LOWER(C102)="f",LOWER(C102)="female"),"Female",TRUE,"Male")</f>
        <v>Male</v>
      </c>
      <c r="E102">
        <v>35</v>
      </c>
      <c r="F102">
        <f t="shared" si="5"/>
        <v>35</v>
      </c>
      <c r="G102" t="s">
        <v>100</v>
      </c>
      <c r="H102" t="s">
        <v>101</v>
      </c>
      <c r="I102" t="s">
        <v>30</v>
      </c>
      <c r="J102">
        <v>0</v>
      </c>
      <c r="K102">
        <f t="shared" si="6"/>
        <v>0</v>
      </c>
      <c r="M102" t="str">
        <f t="shared" si="7"/>
        <v>Not Specified</v>
      </c>
      <c r="N102">
        <v>2</v>
      </c>
      <c r="O102" s="3">
        <f t="shared" si="8"/>
        <v>2</v>
      </c>
      <c r="P102">
        <v>1</v>
      </c>
      <c r="Q102" t="str" cm="1">
        <f t="array" ref="Q102">_xlfn.IFS(ISBLANK(P102),"Not Specified",OR(P102="N",P102=FALSE,P102="no",P102=0),"no",TRUE,"yes")</f>
        <v>yes</v>
      </c>
      <c r="R102" s="5">
        <v>0.64</v>
      </c>
      <c r="S102">
        <f t="shared" si="9"/>
        <v>64</v>
      </c>
    </row>
    <row r="103" spans="1:19">
      <c r="A103" t="s">
        <v>293</v>
      </c>
      <c r="B103" t="s">
        <v>294</v>
      </c>
      <c r="C103" t="s">
        <v>21</v>
      </c>
      <c r="D103" t="str" cm="1">
        <f t="array" ref="D103">_xlfn.IFS(OR(LOWER(C103)="f",LOWER(C103)="female"),"Female",TRUE,"Male")</f>
        <v>Female</v>
      </c>
      <c r="E103">
        <v>51</v>
      </c>
      <c r="F103">
        <f t="shared" si="5"/>
        <v>51</v>
      </c>
      <c r="G103" t="s">
        <v>131</v>
      </c>
      <c r="H103" t="s">
        <v>132</v>
      </c>
      <c r="I103" t="s">
        <v>37</v>
      </c>
      <c r="J103">
        <v>2</v>
      </c>
      <c r="K103">
        <f t="shared" si="6"/>
        <v>2</v>
      </c>
      <c r="L103" t="s">
        <v>52</v>
      </c>
      <c r="M103" t="str">
        <f t="shared" si="7"/>
        <v>30</v>
      </c>
      <c r="N103">
        <v>4.5</v>
      </c>
      <c r="O103" s="3">
        <f t="shared" si="8"/>
        <v>4.5</v>
      </c>
      <c r="P103">
        <v>0</v>
      </c>
      <c r="Q103" t="str" cm="1">
        <f t="array" ref="Q103">_xlfn.IFS(ISBLANK(P103),"Not Specified",OR(P103="N",P103=FALSE,P103="no",P103=0),"no",TRUE,"yes")</f>
        <v>no</v>
      </c>
      <c r="R103">
        <v>64</v>
      </c>
      <c r="S103">
        <f t="shared" si="9"/>
        <v>64</v>
      </c>
    </row>
    <row r="104" spans="1:19">
      <c r="A104" t="s">
        <v>295</v>
      </c>
      <c r="B104" t="s">
        <v>296</v>
      </c>
      <c r="C104" t="s">
        <v>21</v>
      </c>
      <c r="D104" t="str" cm="1">
        <f t="array" ref="D104">_xlfn.IFS(OR(LOWER(C104)="f",LOWER(C104)="female"),"Female",TRUE,"Male")</f>
        <v>Female</v>
      </c>
      <c r="E104">
        <v>50</v>
      </c>
      <c r="F104">
        <f t="shared" si="5"/>
        <v>50</v>
      </c>
      <c r="G104" t="s">
        <v>131</v>
      </c>
      <c r="H104" t="s">
        <v>132</v>
      </c>
      <c r="I104" t="s">
        <v>96</v>
      </c>
      <c r="J104">
        <v>30</v>
      </c>
      <c r="K104">
        <f t="shared" si="6"/>
        <v>30</v>
      </c>
      <c r="L104">
        <v>100</v>
      </c>
      <c r="M104" t="str">
        <f t="shared" si="7"/>
        <v>100</v>
      </c>
      <c r="N104">
        <v>3</v>
      </c>
      <c r="O104" s="3">
        <f t="shared" si="8"/>
        <v>3</v>
      </c>
      <c r="P104">
        <v>1</v>
      </c>
      <c r="Q104" t="str" cm="1">
        <f t="array" ref="Q104">_xlfn.IFS(ISBLANK(P104),"Not Specified",OR(P104="N",P104=FALSE,P104="no",P104=0),"no",TRUE,"yes")</f>
        <v>yes</v>
      </c>
      <c r="R104" s="5">
        <v>0.73</v>
      </c>
      <c r="S104">
        <f t="shared" si="9"/>
        <v>73</v>
      </c>
    </row>
    <row r="105" spans="1:19">
      <c r="A105" t="s">
        <v>297</v>
      </c>
      <c r="B105" t="s">
        <v>298</v>
      </c>
      <c r="C105" t="s">
        <v>21</v>
      </c>
      <c r="D105" t="str" cm="1">
        <f t="array" ref="D105">_xlfn.IFS(OR(LOWER(C105)="f",LOWER(C105)="female"),"Female",TRUE,"Male")</f>
        <v>Female</v>
      </c>
      <c r="E105">
        <v>21</v>
      </c>
      <c r="F105">
        <f t="shared" si="5"/>
        <v>21</v>
      </c>
      <c r="G105" t="s">
        <v>69</v>
      </c>
      <c r="H105" t="s">
        <v>70</v>
      </c>
      <c r="I105" t="s">
        <v>24</v>
      </c>
      <c r="J105">
        <v>2</v>
      </c>
      <c r="K105">
        <f t="shared" si="6"/>
        <v>2</v>
      </c>
      <c r="L105" t="s">
        <v>71</v>
      </c>
      <c r="M105" t="str">
        <f t="shared" si="7"/>
        <v>50</v>
      </c>
      <c r="N105">
        <v>4.9</v>
      </c>
      <c r="O105" s="3">
        <f t="shared" si="8"/>
        <v>4.9</v>
      </c>
      <c r="P105" t="s">
        <v>75</v>
      </c>
      <c r="Q105" t="str" cm="1">
        <f t="array" ref="Q105">_xlfn.IFS(ISBLANK(P105),"Not Specified",OR(P105="N",P105=FALSE,P105="no",P105=0),"no",TRUE,"yes")</f>
        <v>yes</v>
      </c>
      <c r="R105" s="5">
        <v>0.68</v>
      </c>
      <c r="S105">
        <f t="shared" si="9"/>
        <v>68</v>
      </c>
    </row>
    <row r="106" spans="1:19">
      <c r="A106" t="s">
        <v>299</v>
      </c>
      <c r="B106" t="s">
        <v>300</v>
      </c>
      <c r="C106" t="s">
        <v>68</v>
      </c>
      <c r="D106" t="str" cm="1">
        <f t="array" ref="D106">_xlfn.IFS(OR(LOWER(C106)="f",LOWER(C106)="female"),"Female",TRUE,"Male")</f>
        <v>Male</v>
      </c>
      <c r="E106">
        <v>25</v>
      </c>
      <c r="F106">
        <f t="shared" si="5"/>
        <v>25</v>
      </c>
      <c r="G106" t="s">
        <v>65</v>
      </c>
      <c r="H106" t="s">
        <v>29</v>
      </c>
      <c r="I106" t="s">
        <v>37</v>
      </c>
      <c r="J106">
        <v>3</v>
      </c>
      <c r="K106">
        <f t="shared" si="6"/>
        <v>3</v>
      </c>
      <c r="L106" t="s">
        <v>52</v>
      </c>
      <c r="M106" t="str">
        <f t="shared" si="7"/>
        <v>30</v>
      </c>
      <c r="O106" s="3" t="str">
        <f t="shared" si="8"/>
        <v>Not Specified</v>
      </c>
      <c r="P106" t="s">
        <v>166</v>
      </c>
      <c r="Q106" t="str" cm="1">
        <f t="array" ref="Q106">_xlfn.IFS(ISBLANK(P106),"Not Specified",OR(P106="N",P106=FALSE,P106="no",P106=0),"no",TRUE,"yes")</f>
        <v>no</v>
      </c>
      <c r="R106" s="5">
        <v>0.88</v>
      </c>
      <c r="S106">
        <f t="shared" si="9"/>
        <v>88</v>
      </c>
    </row>
    <row r="107" spans="1:19">
      <c r="A107" t="s">
        <v>301</v>
      </c>
      <c r="B107" t="s">
        <v>302</v>
      </c>
      <c r="C107" t="s">
        <v>27</v>
      </c>
      <c r="D107" t="str" cm="1">
        <f t="array" ref="D107">_xlfn.IFS(OR(LOWER(C107)="f",LOWER(C107)="female"),"Female",TRUE,"Male")</f>
        <v>Female</v>
      </c>
      <c r="E107">
        <v>57</v>
      </c>
      <c r="F107">
        <f t="shared" si="5"/>
        <v>57</v>
      </c>
      <c r="G107" t="s">
        <v>142</v>
      </c>
      <c r="H107" t="s">
        <v>143</v>
      </c>
      <c r="I107" t="s">
        <v>96</v>
      </c>
      <c r="J107">
        <v>21</v>
      </c>
      <c r="K107">
        <f t="shared" si="6"/>
        <v>21</v>
      </c>
      <c r="L107" t="s">
        <v>43</v>
      </c>
      <c r="M107" t="str">
        <f t="shared" si="7"/>
        <v>40</v>
      </c>
      <c r="N107">
        <v>2.5</v>
      </c>
      <c r="O107" s="3">
        <f t="shared" si="8"/>
        <v>2.5</v>
      </c>
      <c r="P107">
        <v>0</v>
      </c>
      <c r="Q107" t="str" cm="1">
        <f t="array" ref="Q107">_xlfn.IFS(ISBLANK(P107),"Not Specified",OR(P107="N",P107=FALSE,P107="no",P107=0),"no",TRUE,"yes")</f>
        <v>no</v>
      </c>
      <c r="R107" s="5">
        <v>0.77</v>
      </c>
      <c r="S107">
        <f t="shared" si="9"/>
        <v>77</v>
      </c>
    </row>
    <row r="108" spans="1:19">
      <c r="A108" t="s">
        <v>303</v>
      </c>
      <c r="B108" t="s">
        <v>304</v>
      </c>
      <c r="C108" t="s">
        <v>55</v>
      </c>
      <c r="D108" t="str" cm="1">
        <f t="array" ref="D108">_xlfn.IFS(OR(LOWER(C108)="f",LOWER(C108)="female"),"Female",TRUE,"Male")</f>
        <v>Male</v>
      </c>
      <c r="E108">
        <v>58</v>
      </c>
      <c r="F108">
        <f t="shared" si="5"/>
        <v>58</v>
      </c>
      <c r="G108" t="s">
        <v>131</v>
      </c>
      <c r="H108" t="s">
        <v>132</v>
      </c>
      <c r="I108" t="s">
        <v>24</v>
      </c>
      <c r="J108">
        <v>3</v>
      </c>
      <c r="K108">
        <f t="shared" si="6"/>
        <v>3</v>
      </c>
      <c r="M108" t="str">
        <f t="shared" si="7"/>
        <v>Not Specified</v>
      </c>
      <c r="N108">
        <v>0</v>
      </c>
      <c r="O108" s="3" t="str">
        <f t="shared" si="8"/>
        <v>Not Specified</v>
      </c>
      <c r="P108">
        <v>1</v>
      </c>
      <c r="Q108" t="str" cm="1">
        <f t="array" ref="Q108">_xlfn.IFS(ISBLANK(P108),"Not Specified",OR(P108="N",P108=FALSE,P108="no",P108=0),"no",TRUE,"yes")</f>
        <v>yes</v>
      </c>
      <c r="S108" t="str">
        <f t="shared" si="9"/>
        <v>Not Specified</v>
      </c>
    </row>
    <row r="109" spans="1:19">
      <c r="A109" t="s">
        <v>305</v>
      </c>
      <c r="B109" t="s">
        <v>306</v>
      </c>
      <c r="C109" t="s">
        <v>41</v>
      </c>
      <c r="D109" t="str" cm="1">
        <f t="array" ref="D109">_xlfn.IFS(OR(LOWER(C109)="f",LOWER(C109)="female"),"Female",TRUE,"Male")</f>
        <v>Female</v>
      </c>
      <c r="E109">
        <v>45</v>
      </c>
      <c r="F109">
        <f t="shared" si="5"/>
        <v>45</v>
      </c>
      <c r="G109" t="s">
        <v>56</v>
      </c>
      <c r="H109" t="s">
        <v>57</v>
      </c>
      <c r="I109" t="s">
        <v>30</v>
      </c>
      <c r="J109">
        <v>19</v>
      </c>
      <c r="K109">
        <f t="shared" si="6"/>
        <v>19</v>
      </c>
      <c r="L109">
        <v>40</v>
      </c>
      <c r="M109" t="str">
        <f t="shared" si="7"/>
        <v>40</v>
      </c>
      <c r="O109" s="3" t="str">
        <f t="shared" si="8"/>
        <v>Not Specified</v>
      </c>
      <c r="P109">
        <v>1</v>
      </c>
      <c r="Q109" t="str" cm="1">
        <f t="array" ref="Q109">_xlfn.IFS(ISBLANK(P109),"Not Specified",OR(P109="N",P109=FALSE,P109="no",P109=0),"no",TRUE,"yes")</f>
        <v>yes</v>
      </c>
      <c r="R109" s="5">
        <v>0.72</v>
      </c>
      <c r="S109">
        <f t="shared" si="9"/>
        <v>72</v>
      </c>
    </row>
    <row r="110" spans="1:19">
      <c r="A110" t="s">
        <v>307</v>
      </c>
      <c r="B110" t="s">
        <v>308</v>
      </c>
      <c r="C110" t="s">
        <v>41</v>
      </c>
      <c r="D110" t="str" cm="1">
        <f t="array" ref="D110">_xlfn.IFS(OR(LOWER(C110)="f",LOWER(C110)="female"),"Female",TRUE,"Male")</f>
        <v>Female</v>
      </c>
      <c r="E110">
        <v>23</v>
      </c>
      <c r="F110">
        <f t="shared" si="5"/>
        <v>23</v>
      </c>
      <c r="G110" t="s">
        <v>65</v>
      </c>
      <c r="H110" t="s">
        <v>29</v>
      </c>
      <c r="I110" t="s">
        <v>42</v>
      </c>
      <c r="J110">
        <v>0</v>
      </c>
      <c r="K110">
        <f t="shared" si="6"/>
        <v>0</v>
      </c>
      <c r="L110">
        <v>20</v>
      </c>
      <c r="M110" t="str">
        <f t="shared" si="7"/>
        <v>20</v>
      </c>
      <c r="N110">
        <v>4.7</v>
      </c>
      <c r="O110" s="3">
        <f t="shared" si="8"/>
        <v>4.7</v>
      </c>
      <c r="P110" t="s">
        <v>81</v>
      </c>
      <c r="Q110" t="str" cm="1">
        <f t="array" ref="Q110">_xlfn.IFS(ISBLANK(P110),"Not Specified",OR(P110="N",P110=FALSE,P110="no",P110=0),"no",TRUE,"yes")</f>
        <v>yes</v>
      </c>
      <c r="R110" s="5">
        <v>0.6</v>
      </c>
      <c r="S110">
        <f t="shared" si="9"/>
        <v>60</v>
      </c>
    </row>
    <row r="111" spans="1:19">
      <c r="A111" t="s">
        <v>309</v>
      </c>
      <c r="B111" t="s">
        <v>310</v>
      </c>
      <c r="C111" t="s">
        <v>27</v>
      </c>
      <c r="D111" t="str" cm="1">
        <f t="array" ref="D111">_xlfn.IFS(OR(LOWER(C111)="f",LOWER(C111)="female"),"Female",TRUE,"Male")</f>
        <v>Female</v>
      </c>
      <c r="E111">
        <v>46</v>
      </c>
      <c r="F111">
        <f t="shared" si="5"/>
        <v>46</v>
      </c>
      <c r="G111" t="s">
        <v>65</v>
      </c>
      <c r="H111" t="s">
        <v>29</v>
      </c>
      <c r="I111" t="s">
        <v>51</v>
      </c>
      <c r="J111">
        <v>9</v>
      </c>
      <c r="K111">
        <f t="shared" si="6"/>
        <v>9</v>
      </c>
      <c r="L111" t="s">
        <v>52</v>
      </c>
      <c r="M111" t="str">
        <f t="shared" si="7"/>
        <v>30</v>
      </c>
      <c r="N111">
        <v>3.5</v>
      </c>
      <c r="O111" s="3">
        <f t="shared" si="8"/>
        <v>3.5</v>
      </c>
      <c r="Q111" t="str" cm="1">
        <f t="array" ref="Q111">_xlfn.IFS(ISBLANK(P111),"Not Specified",OR(P111="N",P111=FALSE,P111="no",P111=0),"no",TRUE,"yes")</f>
        <v>Not Specified</v>
      </c>
      <c r="R111">
        <v>72</v>
      </c>
      <c r="S111">
        <f t="shared" si="9"/>
        <v>72</v>
      </c>
    </row>
    <row r="112" spans="1:19">
      <c r="A112" t="s">
        <v>311</v>
      </c>
      <c r="B112" t="s">
        <v>312</v>
      </c>
      <c r="C112" t="s">
        <v>68</v>
      </c>
      <c r="D112" t="str" cm="1">
        <f t="array" ref="D112">_xlfn.IFS(OR(LOWER(C112)="f",LOWER(C112)="female"),"Female",TRUE,"Male")</f>
        <v>Male</v>
      </c>
      <c r="E112">
        <v>27</v>
      </c>
      <c r="F112">
        <f t="shared" si="5"/>
        <v>27</v>
      </c>
      <c r="G112" t="s">
        <v>78</v>
      </c>
      <c r="H112" t="s">
        <v>79</v>
      </c>
      <c r="I112" t="s">
        <v>80</v>
      </c>
      <c r="J112">
        <v>5</v>
      </c>
      <c r="K112">
        <f t="shared" si="6"/>
        <v>5</v>
      </c>
      <c r="L112">
        <v>30</v>
      </c>
      <c r="M112" t="str">
        <f t="shared" si="7"/>
        <v>30</v>
      </c>
      <c r="O112" s="3" t="str">
        <f t="shared" si="8"/>
        <v>Not Specified</v>
      </c>
      <c r="P112" t="s">
        <v>38</v>
      </c>
      <c r="Q112" t="str" cm="1">
        <f t="array" ref="Q112">_xlfn.IFS(ISBLANK(P112),"Not Specified",OR(P112="N",P112=FALSE,P112="no",P112=0),"no",TRUE,"yes")</f>
        <v>no</v>
      </c>
      <c r="R112" s="5">
        <v>0.92</v>
      </c>
      <c r="S112">
        <f t="shared" si="9"/>
        <v>92</v>
      </c>
    </row>
    <row r="113" spans="1:19">
      <c r="A113" t="s">
        <v>313</v>
      </c>
      <c r="B113" t="s">
        <v>314</v>
      </c>
      <c r="C113" t="s">
        <v>27</v>
      </c>
      <c r="D113" t="str" cm="1">
        <f t="array" ref="D113">_xlfn.IFS(OR(LOWER(C113)="f",LOWER(C113)="female"),"Female",TRUE,"Male")</f>
        <v>Female</v>
      </c>
      <c r="E113">
        <v>32</v>
      </c>
      <c r="F113">
        <f t="shared" si="5"/>
        <v>32</v>
      </c>
      <c r="G113" t="s">
        <v>65</v>
      </c>
      <c r="H113" t="s">
        <v>29</v>
      </c>
      <c r="I113" t="s">
        <v>121</v>
      </c>
      <c r="J113">
        <v>6</v>
      </c>
      <c r="K113">
        <f t="shared" si="6"/>
        <v>6</v>
      </c>
      <c r="L113" t="s">
        <v>105</v>
      </c>
      <c r="M113" t="str">
        <f t="shared" si="7"/>
        <v> 50</v>
      </c>
      <c r="N113">
        <v>3.4</v>
      </c>
      <c r="O113" s="3">
        <f t="shared" si="8"/>
        <v>3.4</v>
      </c>
      <c r="P113">
        <v>1</v>
      </c>
      <c r="Q113" t="str" cm="1">
        <f t="array" ref="Q113">_xlfn.IFS(ISBLANK(P113),"Not Specified",OR(P113="N",P113=FALSE,P113="no",P113=0),"no",TRUE,"yes")</f>
        <v>yes</v>
      </c>
      <c r="S113" t="str">
        <f t="shared" si="9"/>
        <v>Not Specified</v>
      </c>
    </row>
    <row r="114" spans="1:19">
      <c r="A114" t="s">
        <v>315</v>
      </c>
      <c r="B114" t="s">
        <v>316</v>
      </c>
      <c r="C114" t="s">
        <v>21</v>
      </c>
      <c r="D114" t="str" cm="1">
        <f t="array" ref="D114">_xlfn.IFS(OR(LOWER(C114)="f",LOWER(C114)="female"),"Female",TRUE,"Male")</f>
        <v>Female</v>
      </c>
      <c r="E114">
        <v>48</v>
      </c>
      <c r="F114">
        <f t="shared" si="5"/>
        <v>48</v>
      </c>
      <c r="G114" t="s">
        <v>78</v>
      </c>
      <c r="H114" t="s">
        <v>79</v>
      </c>
      <c r="I114" t="s">
        <v>121</v>
      </c>
      <c r="J114">
        <v>6</v>
      </c>
      <c r="K114">
        <f t="shared" si="6"/>
        <v>6</v>
      </c>
      <c r="L114" t="s">
        <v>59</v>
      </c>
      <c r="M114" t="str">
        <f t="shared" si="7"/>
        <v> 75</v>
      </c>
      <c r="N114">
        <v>2.5</v>
      </c>
      <c r="O114" s="3">
        <f t="shared" si="8"/>
        <v>2.5</v>
      </c>
      <c r="Q114" t="str" cm="1">
        <f t="array" ref="Q114">_xlfn.IFS(ISBLANK(P114),"Not Specified",OR(P114="N",P114=FALSE,P114="no",P114=0),"no",TRUE,"yes")</f>
        <v>Not Specified</v>
      </c>
      <c r="R114" s="5">
        <v>0.92</v>
      </c>
      <c r="S114">
        <f t="shared" si="9"/>
        <v>92</v>
      </c>
    </row>
    <row r="115" spans="1:19">
      <c r="A115" t="s">
        <v>317</v>
      </c>
      <c r="B115" t="s">
        <v>318</v>
      </c>
      <c r="C115" t="s">
        <v>34</v>
      </c>
      <c r="D115" t="str" cm="1">
        <f t="array" ref="D115">_xlfn.IFS(OR(LOWER(C115)="f",LOWER(C115)="female"),"Female",TRUE,"Male")</f>
        <v>Male</v>
      </c>
      <c r="E115">
        <v>30</v>
      </c>
      <c r="F115">
        <f t="shared" si="5"/>
        <v>30</v>
      </c>
      <c r="G115" t="s">
        <v>69</v>
      </c>
      <c r="H115" t="s">
        <v>70</v>
      </c>
      <c r="I115" t="s">
        <v>30</v>
      </c>
      <c r="J115">
        <v>3</v>
      </c>
      <c r="K115">
        <f t="shared" si="6"/>
        <v>3</v>
      </c>
      <c r="L115" t="s">
        <v>52</v>
      </c>
      <c r="M115" t="str">
        <f t="shared" si="7"/>
        <v>30</v>
      </c>
      <c r="N115">
        <v>1.1</v>
      </c>
      <c r="O115" s="3">
        <f t="shared" si="8"/>
        <v>1.1</v>
      </c>
      <c r="P115" t="b">
        <v>1</v>
      </c>
      <c r="Q115" t="str" cm="1">
        <f t="array" ref="Q115">_xlfn.IFS(ISBLANK(P115),"Not Specified",OR(P115="N",P115=FALSE,P115="no",P115=0),"no",TRUE,"yes")</f>
        <v>yes</v>
      </c>
      <c r="S115" t="str">
        <f t="shared" si="9"/>
        <v>Not Specified</v>
      </c>
    </row>
    <row r="116" spans="1:19">
      <c r="A116" t="s">
        <v>319</v>
      </c>
      <c r="B116" t="s">
        <v>320</v>
      </c>
      <c r="C116" t="s">
        <v>104</v>
      </c>
      <c r="D116" t="str" cm="1">
        <f t="array" ref="D116">_xlfn.IFS(OR(LOWER(C116)="f",LOWER(C116)="female"),"Female",TRUE,"Male")</f>
        <v>Male</v>
      </c>
      <c r="E116">
        <v>59</v>
      </c>
      <c r="F116">
        <f t="shared" si="5"/>
        <v>59</v>
      </c>
      <c r="G116" t="s">
        <v>69</v>
      </c>
      <c r="H116" t="s">
        <v>70</v>
      </c>
      <c r="I116" t="s">
        <v>51</v>
      </c>
      <c r="J116">
        <v>13</v>
      </c>
      <c r="K116">
        <f t="shared" si="6"/>
        <v>13</v>
      </c>
      <c r="L116" t="s">
        <v>321</v>
      </c>
      <c r="M116" t="str">
        <f t="shared" si="7"/>
        <v> 20</v>
      </c>
      <c r="N116">
        <v>4.8</v>
      </c>
      <c r="O116" s="3">
        <f t="shared" si="8"/>
        <v>4.8</v>
      </c>
      <c r="Q116" t="str" cm="1">
        <f t="array" ref="Q116">_xlfn.IFS(ISBLANK(P116),"Not Specified",OR(P116="N",P116=FALSE,P116="no",P116=0),"no",TRUE,"yes")</f>
        <v>Not Specified</v>
      </c>
      <c r="S116" t="str">
        <f t="shared" si="9"/>
        <v>Not Specified</v>
      </c>
    </row>
    <row r="117" spans="1:19">
      <c r="A117" t="s">
        <v>322</v>
      </c>
      <c r="B117" t="s">
        <v>323</v>
      </c>
      <c r="C117" t="s">
        <v>46</v>
      </c>
      <c r="D117" t="str" cm="1">
        <f t="array" ref="D117">_xlfn.IFS(OR(LOWER(C117)="f",LOWER(C117)="female"),"Female",TRUE,"Male")</f>
        <v>Female</v>
      </c>
      <c r="E117">
        <v>32</v>
      </c>
      <c r="F117">
        <f t="shared" si="5"/>
        <v>32</v>
      </c>
      <c r="G117" t="s">
        <v>186</v>
      </c>
      <c r="H117" t="s">
        <v>79</v>
      </c>
      <c r="I117" t="s">
        <v>51</v>
      </c>
      <c r="J117">
        <v>5</v>
      </c>
      <c r="K117">
        <f t="shared" si="6"/>
        <v>5</v>
      </c>
      <c r="L117" t="s">
        <v>52</v>
      </c>
      <c r="M117" t="str">
        <f t="shared" si="7"/>
        <v>30</v>
      </c>
      <c r="O117" s="3" t="str">
        <f t="shared" si="8"/>
        <v>Not Specified</v>
      </c>
      <c r="P117">
        <v>0</v>
      </c>
      <c r="Q117" t="str" cm="1">
        <f t="array" ref="Q117">_xlfn.IFS(ISBLANK(P117),"Not Specified",OR(P117="N",P117=FALSE,P117="no",P117=0),"no",TRUE,"yes")</f>
        <v>no</v>
      </c>
      <c r="R117" s="5">
        <v>0.86</v>
      </c>
      <c r="S117">
        <f t="shared" si="9"/>
        <v>86</v>
      </c>
    </row>
    <row r="118" spans="1:19">
      <c r="A118" t="s">
        <v>324</v>
      </c>
      <c r="B118" t="s">
        <v>325</v>
      </c>
      <c r="C118" t="s">
        <v>84</v>
      </c>
      <c r="D118" t="str" cm="1">
        <f t="array" ref="D118">_xlfn.IFS(OR(LOWER(C118)="f",LOWER(C118)="female"),"Female",TRUE,"Male")</f>
        <v>Female</v>
      </c>
      <c r="E118">
        <v>57</v>
      </c>
      <c r="F118">
        <f t="shared" si="5"/>
        <v>57</v>
      </c>
      <c r="G118" t="s">
        <v>146</v>
      </c>
      <c r="H118" t="s">
        <v>147</v>
      </c>
      <c r="I118" t="s">
        <v>80</v>
      </c>
      <c r="J118">
        <v>4</v>
      </c>
      <c r="K118">
        <f t="shared" si="6"/>
        <v>4</v>
      </c>
      <c r="L118" t="s">
        <v>62</v>
      </c>
      <c r="M118" t="str">
        <f t="shared" si="7"/>
        <v> 40</v>
      </c>
      <c r="N118">
        <v>3.4</v>
      </c>
      <c r="O118" s="3">
        <f t="shared" si="8"/>
        <v>3.4</v>
      </c>
      <c r="P118">
        <v>1</v>
      </c>
      <c r="Q118" t="str" cm="1">
        <f t="array" ref="Q118">_xlfn.IFS(ISBLANK(P118),"Not Specified",OR(P118="N",P118=FALSE,P118="no",P118=0),"no",TRUE,"yes")</f>
        <v>yes</v>
      </c>
      <c r="R118" s="5">
        <v>0.68</v>
      </c>
      <c r="S118">
        <f t="shared" si="9"/>
        <v>68</v>
      </c>
    </row>
    <row r="119" spans="1:19">
      <c r="A119" t="s">
        <v>326</v>
      </c>
      <c r="B119" t="s">
        <v>327</v>
      </c>
      <c r="C119" t="s">
        <v>68</v>
      </c>
      <c r="D119" t="str" cm="1">
        <f t="array" ref="D119">_xlfn.IFS(OR(LOWER(C119)="f",LOWER(C119)="female"),"Female",TRUE,"Male")</f>
        <v>Male</v>
      </c>
      <c r="E119">
        <v>27</v>
      </c>
      <c r="F119">
        <f t="shared" si="5"/>
        <v>27</v>
      </c>
      <c r="G119" t="s">
        <v>28</v>
      </c>
      <c r="H119" t="s">
        <v>29</v>
      </c>
      <c r="I119" t="s">
        <v>121</v>
      </c>
      <c r="J119">
        <v>7</v>
      </c>
      <c r="K119">
        <f t="shared" si="6"/>
        <v>7</v>
      </c>
      <c r="L119" t="s">
        <v>321</v>
      </c>
      <c r="M119" t="str">
        <f t="shared" si="7"/>
        <v> 20</v>
      </c>
      <c r="N119">
        <v>3.2</v>
      </c>
      <c r="O119" s="3">
        <f t="shared" si="8"/>
        <v>3.2</v>
      </c>
      <c r="P119">
        <v>1</v>
      </c>
      <c r="Q119" t="str" cm="1">
        <f t="array" ref="Q119">_xlfn.IFS(ISBLANK(P119),"Not Specified",OR(P119="N",P119=FALSE,P119="no",P119=0),"no",TRUE,"yes")</f>
        <v>yes</v>
      </c>
      <c r="R119" s="5">
        <v>0.62</v>
      </c>
      <c r="S119">
        <f t="shared" si="9"/>
        <v>62</v>
      </c>
    </row>
    <row r="120" spans="1:19">
      <c r="A120" t="s">
        <v>328</v>
      </c>
      <c r="B120" t="s">
        <v>329</v>
      </c>
      <c r="C120" t="s">
        <v>41</v>
      </c>
      <c r="D120" t="str" cm="1">
        <f t="array" ref="D120">_xlfn.IFS(OR(LOWER(C120)="f",LOWER(C120)="female"),"Female",TRUE,"Male")</f>
        <v>Female</v>
      </c>
      <c r="E120">
        <v>33</v>
      </c>
      <c r="F120">
        <f t="shared" si="5"/>
        <v>33</v>
      </c>
      <c r="G120" t="s">
        <v>56</v>
      </c>
      <c r="H120" t="s">
        <v>57</v>
      </c>
      <c r="I120" t="s">
        <v>121</v>
      </c>
      <c r="J120">
        <v>13</v>
      </c>
      <c r="K120">
        <f t="shared" si="6"/>
        <v>13</v>
      </c>
      <c r="L120">
        <v>20</v>
      </c>
      <c r="M120" t="str">
        <f t="shared" si="7"/>
        <v>20</v>
      </c>
      <c r="N120">
        <v>3.2</v>
      </c>
      <c r="O120" s="3">
        <f t="shared" si="8"/>
        <v>3.2</v>
      </c>
      <c r="P120" t="b">
        <v>0</v>
      </c>
      <c r="Q120" t="str" cm="1">
        <f t="array" ref="Q120">_xlfn.IFS(ISBLANK(P120),"Not Specified",OR(P120="N",P120=FALSE,P120="no",P120=0),"no",TRUE,"yes")</f>
        <v>no</v>
      </c>
      <c r="S120" t="str">
        <f t="shared" si="9"/>
        <v>Not Specified</v>
      </c>
    </row>
    <row r="121" spans="1:19">
      <c r="A121" t="s">
        <v>330</v>
      </c>
      <c r="B121" t="s">
        <v>331</v>
      </c>
      <c r="C121" t="s">
        <v>34</v>
      </c>
      <c r="D121" t="str" cm="1">
        <f t="array" ref="D121">_xlfn.IFS(OR(LOWER(C121)="f",LOWER(C121)="female"),"Female",TRUE,"Male")</f>
        <v>Male</v>
      </c>
      <c r="E121">
        <v>29</v>
      </c>
      <c r="F121">
        <f t="shared" si="5"/>
        <v>29</v>
      </c>
      <c r="G121" t="s">
        <v>119</v>
      </c>
      <c r="H121" t="s">
        <v>120</v>
      </c>
      <c r="I121" t="s">
        <v>58</v>
      </c>
      <c r="J121">
        <v>4</v>
      </c>
      <c r="K121">
        <f t="shared" si="6"/>
        <v>4</v>
      </c>
      <c r="L121">
        <v>30</v>
      </c>
      <c r="M121" t="str">
        <f t="shared" si="7"/>
        <v>30</v>
      </c>
      <c r="N121">
        <v>0</v>
      </c>
      <c r="O121" s="3" t="str">
        <f t="shared" si="8"/>
        <v>Not Specified</v>
      </c>
      <c r="P121" t="s">
        <v>81</v>
      </c>
      <c r="Q121" t="str" cm="1">
        <f t="array" ref="Q121">_xlfn.IFS(ISBLANK(P121),"Not Specified",OR(P121="N",P121=FALSE,P121="no",P121=0),"no",TRUE,"yes")</f>
        <v>yes</v>
      </c>
      <c r="R121" s="5">
        <v>0.82</v>
      </c>
      <c r="S121">
        <f t="shared" si="9"/>
        <v>82</v>
      </c>
    </row>
    <row r="122" spans="1:19">
      <c r="A122" t="s">
        <v>332</v>
      </c>
      <c r="B122" t="s">
        <v>333</v>
      </c>
      <c r="C122" t="s">
        <v>46</v>
      </c>
      <c r="D122" t="str" cm="1">
        <f t="array" ref="D122">_xlfn.IFS(OR(LOWER(C122)="f",LOWER(C122)="female"),"Female",TRUE,"Male")</f>
        <v>Female</v>
      </c>
      <c r="E122">
        <v>36</v>
      </c>
      <c r="F122">
        <f t="shared" si="5"/>
        <v>36</v>
      </c>
      <c r="G122" t="s">
        <v>56</v>
      </c>
      <c r="H122" t="s">
        <v>57</v>
      </c>
      <c r="I122" t="s">
        <v>80</v>
      </c>
      <c r="J122">
        <v>13</v>
      </c>
      <c r="K122">
        <f t="shared" si="6"/>
        <v>13</v>
      </c>
      <c r="L122">
        <v>75</v>
      </c>
      <c r="M122" t="str">
        <f t="shared" si="7"/>
        <v>75</v>
      </c>
      <c r="O122" s="3" t="str">
        <f t="shared" si="8"/>
        <v>Not Specified</v>
      </c>
      <c r="P122">
        <v>1</v>
      </c>
      <c r="Q122" t="str" cm="1">
        <f t="array" ref="Q122">_xlfn.IFS(ISBLANK(P122),"Not Specified",OR(P122="N",P122=FALSE,P122="no",P122=0),"no",TRUE,"yes")</f>
        <v>yes</v>
      </c>
      <c r="S122" t="str">
        <f t="shared" si="9"/>
        <v>Not Specified</v>
      </c>
    </row>
    <row r="123" spans="1:19">
      <c r="A123" t="s">
        <v>334</v>
      </c>
      <c r="B123" t="s">
        <v>335</v>
      </c>
      <c r="C123" t="s">
        <v>84</v>
      </c>
      <c r="D123" t="str" cm="1">
        <f t="array" ref="D123">_xlfn.IFS(OR(LOWER(C123)="f",LOWER(C123)="female"),"Female",TRUE,"Male")</f>
        <v>Female</v>
      </c>
      <c r="E123">
        <v>47</v>
      </c>
      <c r="F123">
        <f t="shared" si="5"/>
        <v>47</v>
      </c>
      <c r="G123" t="s">
        <v>22</v>
      </c>
      <c r="H123" t="s">
        <v>23</v>
      </c>
      <c r="I123" t="s">
        <v>96</v>
      </c>
      <c r="J123">
        <v>5</v>
      </c>
      <c r="K123">
        <f t="shared" si="6"/>
        <v>5</v>
      </c>
      <c r="L123" t="s">
        <v>43</v>
      </c>
      <c r="M123" t="str">
        <f t="shared" si="7"/>
        <v>40</v>
      </c>
      <c r="N123">
        <v>3.7</v>
      </c>
      <c r="O123" s="3">
        <f t="shared" si="8"/>
        <v>3.7</v>
      </c>
      <c r="P123" t="b">
        <v>0</v>
      </c>
      <c r="Q123" t="str" cm="1">
        <f t="array" ref="Q123">_xlfn.IFS(ISBLANK(P123),"Not Specified",OR(P123="N",P123=FALSE,P123="no",P123=0),"no",TRUE,"yes")</f>
        <v>no</v>
      </c>
      <c r="R123">
        <v>93</v>
      </c>
      <c r="S123">
        <f t="shared" si="9"/>
        <v>93</v>
      </c>
    </row>
    <row r="124" spans="1:19">
      <c r="A124" t="s">
        <v>336</v>
      </c>
      <c r="B124" t="s">
        <v>337</v>
      </c>
      <c r="C124" t="s">
        <v>68</v>
      </c>
      <c r="D124" t="str" cm="1">
        <f t="array" ref="D124">_xlfn.IFS(OR(LOWER(C124)="f",LOWER(C124)="female"),"Female",TRUE,"Male")</f>
        <v>Male</v>
      </c>
      <c r="E124">
        <v>48</v>
      </c>
      <c r="F124">
        <f t="shared" si="5"/>
        <v>48</v>
      </c>
      <c r="G124" t="s">
        <v>135</v>
      </c>
      <c r="H124" t="s">
        <v>29</v>
      </c>
      <c r="I124" t="s">
        <v>121</v>
      </c>
      <c r="J124">
        <v>15</v>
      </c>
      <c r="K124">
        <f t="shared" si="6"/>
        <v>15</v>
      </c>
      <c r="L124" t="s">
        <v>105</v>
      </c>
      <c r="M124" t="str">
        <f t="shared" si="7"/>
        <v> 50</v>
      </c>
      <c r="N124">
        <v>1</v>
      </c>
      <c r="O124" s="3">
        <f t="shared" si="8"/>
        <v>1</v>
      </c>
      <c r="P124" t="s">
        <v>81</v>
      </c>
      <c r="Q124" t="str" cm="1">
        <f t="array" ref="Q124">_xlfn.IFS(ISBLANK(P124),"Not Specified",OR(P124="N",P124=FALSE,P124="no",P124=0),"no",TRUE,"yes")</f>
        <v>yes</v>
      </c>
      <c r="R124" s="5">
        <v>0.64</v>
      </c>
      <c r="S124">
        <f t="shared" si="9"/>
        <v>64</v>
      </c>
    </row>
    <row r="125" spans="1:19">
      <c r="A125" t="s">
        <v>338</v>
      </c>
      <c r="B125" t="s">
        <v>339</v>
      </c>
      <c r="C125" t="s">
        <v>21</v>
      </c>
      <c r="D125" t="str" cm="1">
        <f t="array" ref="D125">_xlfn.IFS(OR(LOWER(C125)="f",LOWER(C125)="female"),"Female",TRUE,"Male")</f>
        <v>Female</v>
      </c>
      <c r="E125">
        <v>27</v>
      </c>
      <c r="F125">
        <f t="shared" si="5"/>
        <v>27</v>
      </c>
      <c r="G125" t="s">
        <v>182</v>
      </c>
      <c r="H125" t="s">
        <v>183</v>
      </c>
      <c r="I125" t="s">
        <v>80</v>
      </c>
      <c r="J125">
        <v>8</v>
      </c>
      <c r="K125">
        <f t="shared" si="6"/>
        <v>8</v>
      </c>
      <c r="L125" t="s">
        <v>71</v>
      </c>
      <c r="M125" t="str">
        <f t="shared" si="7"/>
        <v>50</v>
      </c>
      <c r="N125">
        <v>0</v>
      </c>
      <c r="O125" s="3" t="str">
        <f t="shared" si="8"/>
        <v>Not Specified</v>
      </c>
      <c r="Q125" t="str" cm="1">
        <f t="array" ref="Q125">_xlfn.IFS(ISBLANK(P125),"Not Specified",OR(P125="N",P125=FALSE,P125="no",P125=0),"no",TRUE,"yes")</f>
        <v>Not Specified</v>
      </c>
      <c r="S125" t="str">
        <f t="shared" si="9"/>
        <v>Not Specified</v>
      </c>
    </row>
    <row r="126" spans="1:19">
      <c r="A126" t="s">
        <v>340</v>
      </c>
      <c r="B126" t="s">
        <v>341</v>
      </c>
      <c r="C126" t="s">
        <v>34</v>
      </c>
      <c r="D126" t="str" cm="1">
        <f t="array" ref="D126">_xlfn.IFS(OR(LOWER(C126)="f",LOWER(C126)="female"),"Female",TRUE,"Male")</f>
        <v>Male</v>
      </c>
      <c r="E126">
        <v>34</v>
      </c>
      <c r="F126">
        <f t="shared" si="5"/>
        <v>34</v>
      </c>
      <c r="G126" t="s">
        <v>28</v>
      </c>
      <c r="H126" t="s">
        <v>29</v>
      </c>
      <c r="I126" t="s">
        <v>42</v>
      </c>
      <c r="J126">
        <v>10</v>
      </c>
      <c r="K126">
        <f t="shared" si="6"/>
        <v>10</v>
      </c>
      <c r="M126" t="str">
        <f t="shared" si="7"/>
        <v>Not Specified</v>
      </c>
      <c r="N126">
        <v>1.7</v>
      </c>
      <c r="O126" s="3">
        <f t="shared" si="8"/>
        <v>1.7</v>
      </c>
      <c r="P126" t="s">
        <v>38</v>
      </c>
      <c r="Q126" t="str" cm="1">
        <f t="array" ref="Q126">_xlfn.IFS(ISBLANK(P126),"Not Specified",OR(P126="N",P126=FALSE,P126="no",P126=0),"no",TRUE,"yes")</f>
        <v>no</v>
      </c>
      <c r="R126" s="5">
        <v>0.96</v>
      </c>
      <c r="S126">
        <f t="shared" si="9"/>
        <v>96</v>
      </c>
    </row>
    <row r="127" spans="1:19">
      <c r="A127" t="s">
        <v>342</v>
      </c>
      <c r="B127" t="s">
        <v>343</v>
      </c>
      <c r="C127" t="s">
        <v>104</v>
      </c>
      <c r="D127" t="str" cm="1">
        <f t="array" ref="D127">_xlfn.IFS(OR(LOWER(C127)="f",LOWER(C127)="female"),"Female",TRUE,"Male")</f>
        <v>Male</v>
      </c>
      <c r="E127">
        <v>49</v>
      </c>
      <c r="F127">
        <f t="shared" si="5"/>
        <v>49</v>
      </c>
      <c r="G127" t="s">
        <v>119</v>
      </c>
      <c r="H127" t="s">
        <v>120</v>
      </c>
      <c r="I127" t="s">
        <v>58</v>
      </c>
      <c r="J127">
        <v>19</v>
      </c>
      <c r="K127">
        <f t="shared" si="6"/>
        <v>19</v>
      </c>
      <c r="M127" t="str">
        <f t="shared" si="7"/>
        <v>Not Specified</v>
      </c>
      <c r="N127">
        <v>5</v>
      </c>
      <c r="O127" s="3">
        <f t="shared" si="8"/>
        <v>5</v>
      </c>
      <c r="P127" t="s">
        <v>81</v>
      </c>
      <c r="Q127" t="str" cm="1">
        <f t="array" ref="Q127">_xlfn.IFS(ISBLANK(P127),"Not Specified",OR(P127="N",P127=FALSE,P127="no",P127=0),"no",TRUE,"yes")</f>
        <v>yes</v>
      </c>
      <c r="R127" s="5">
        <v>0.83</v>
      </c>
      <c r="S127">
        <f t="shared" si="9"/>
        <v>83</v>
      </c>
    </row>
    <row r="128" spans="1:19">
      <c r="A128" t="s">
        <v>344</v>
      </c>
      <c r="B128" t="s">
        <v>345</v>
      </c>
      <c r="C128" t="s">
        <v>34</v>
      </c>
      <c r="D128" t="str" cm="1">
        <f t="array" ref="D128">_xlfn.IFS(OR(LOWER(C128)="f",LOWER(C128)="female"),"Female",TRUE,"Male")</f>
        <v>Male</v>
      </c>
      <c r="E128">
        <v>30</v>
      </c>
      <c r="F128">
        <f t="shared" si="5"/>
        <v>30</v>
      </c>
      <c r="G128" t="s">
        <v>114</v>
      </c>
      <c r="H128" t="s">
        <v>115</v>
      </c>
      <c r="I128" t="s">
        <v>30</v>
      </c>
      <c r="J128">
        <v>10</v>
      </c>
      <c r="K128">
        <f t="shared" si="6"/>
        <v>10</v>
      </c>
      <c r="L128" t="s">
        <v>236</v>
      </c>
      <c r="M128" t="str">
        <f t="shared" si="7"/>
        <v>100</v>
      </c>
      <c r="N128">
        <v>1.7</v>
      </c>
      <c r="O128" s="3">
        <f t="shared" si="8"/>
        <v>1.7</v>
      </c>
      <c r="P128" t="s">
        <v>75</v>
      </c>
      <c r="Q128" t="str" cm="1">
        <f t="array" ref="Q128">_xlfn.IFS(ISBLANK(P128),"Not Specified",OR(P128="N",P128=FALSE,P128="no",P128=0),"no",TRUE,"yes")</f>
        <v>yes</v>
      </c>
      <c r="R128" s="5">
        <v>0.64</v>
      </c>
      <c r="S128">
        <f t="shared" si="9"/>
        <v>64</v>
      </c>
    </row>
    <row r="129" spans="1:19">
      <c r="A129" t="s">
        <v>346</v>
      </c>
      <c r="B129" t="s">
        <v>347</v>
      </c>
      <c r="C129" t="s">
        <v>34</v>
      </c>
      <c r="D129" t="str" cm="1">
        <f t="array" ref="D129">_xlfn.IFS(OR(LOWER(C129)="f",LOWER(C129)="female"),"Female",TRUE,"Male")</f>
        <v>Male</v>
      </c>
      <c r="E129">
        <v>31</v>
      </c>
      <c r="F129">
        <f t="shared" si="5"/>
        <v>31</v>
      </c>
      <c r="G129" t="s">
        <v>146</v>
      </c>
      <c r="H129" t="s">
        <v>147</v>
      </c>
      <c r="I129" t="s">
        <v>37</v>
      </c>
      <c r="J129">
        <v>8</v>
      </c>
      <c r="K129">
        <f t="shared" si="6"/>
        <v>8</v>
      </c>
      <c r="L129">
        <v>40</v>
      </c>
      <c r="M129" t="str">
        <f t="shared" si="7"/>
        <v>40</v>
      </c>
      <c r="N129">
        <v>4.4</v>
      </c>
      <c r="O129" s="3">
        <f t="shared" si="8"/>
        <v>4.4</v>
      </c>
      <c r="P129">
        <v>0</v>
      </c>
      <c r="Q129" t="str" cm="1">
        <f t="array" ref="Q129">_xlfn.IFS(ISBLANK(P129),"Not Specified",OR(P129="N",P129=FALSE,P129="no",P129=0),"no",TRUE,"yes")</f>
        <v>no</v>
      </c>
      <c r="R129" s="5">
        <v>0.7</v>
      </c>
      <c r="S129">
        <f t="shared" si="9"/>
        <v>70</v>
      </c>
    </row>
    <row r="130" spans="1:19">
      <c r="A130" t="s">
        <v>348</v>
      </c>
      <c r="B130" t="s">
        <v>349</v>
      </c>
      <c r="C130" t="s">
        <v>55</v>
      </c>
      <c r="D130" t="str" cm="1">
        <f t="array" ref="D130">_xlfn.IFS(OR(LOWER(C130)="f",LOWER(C130)="female"),"Female",TRUE,"Male")</f>
        <v>Male</v>
      </c>
      <c r="E130">
        <v>58</v>
      </c>
      <c r="F130">
        <f t="shared" si="5"/>
        <v>58</v>
      </c>
      <c r="G130" t="s">
        <v>182</v>
      </c>
      <c r="H130" t="s">
        <v>183</v>
      </c>
      <c r="I130" t="s">
        <v>121</v>
      </c>
      <c r="J130">
        <v>9</v>
      </c>
      <c r="K130">
        <f t="shared" si="6"/>
        <v>9</v>
      </c>
      <c r="L130">
        <v>20</v>
      </c>
      <c r="M130" t="str">
        <f t="shared" si="7"/>
        <v>20</v>
      </c>
      <c r="N130">
        <v>0</v>
      </c>
      <c r="O130" s="3" t="str">
        <f t="shared" si="8"/>
        <v>Not Specified</v>
      </c>
      <c r="P130" t="s">
        <v>38</v>
      </c>
      <c r="Q130" t="str" cm="1">
        <f t="array" ref="Q130">_xlfn.IFS(ISBLANK(P130),"Not Specified",OR(P130="N",P130=FALSE,P130="no",P130=0),"no",TRUE,"yes")</f>
        <v>no</v>
      </c>
      <c r="R130" s="5">
        <v>0.65</v>
      </c>
      <c r="S130">
        <f t="shared" si="9"/>
        <v>65</v>
      </c>
    </row>
    <row r="131" spans="1:19">
      <c r="A131" t="s">
        <v>350</v>
      </c>
      <c r="B131" t="s">
        <v>351</v>
      </c>
      <c r="C131" t="s">
        <v>104</v>
      </c>
      <c r="D131" t="str" cm="1">
        <f t="array" ref="D131">_xlfn.IFS(OR(LOWER(C131)="f",LOWER(C131)="female"),"Female",TRUE,"Male")</f>
        <v>Male</v>
      </c>
      <c r="E131">
        <v>47</v>
      </c>
      <c r="F131">
        <f t="shared" ref="F131:F194" si="10">IF(ISNUMBER(E131),E131,"Not Specified")</f>
        <v>47</v>
      </c>
      <c r="G131" t="s">
        <v>142</v>
      </c>
      <c r="H131" t="s">
        <v>143</v>
      </c>
      <c r="I131" t="s">
        <v>121</v>
      </c>
      <c r="J131">
        <v>13</v>
      </c>
      <c r="K131">
        <f t="shared" ref="K131:K194" si="11">IF(ISNUMBER(J131),J131,"Not Specified")</f>
        <v>13</v>
      </c>
      <c r="L131">
        <v>40</v>
      </c>
      <c r="M131" t="str">
        <f t="shared" ref="M131:M194" si="12">IF(SUBSTITUTE(SUBSTITUTE(L131,"USD",""),"$","")="","Not Specified",SUBSTITUTE(SUBSTITUTE(L131,"USD",""),"$",""))</f>
        <v>40</v>
      </c>
      <c r="N131">
        <v>3.4</v>
      </c>
      <c r="O131" s="3">
        <f t="shared" ref="O131:O194" si="13">IF(OR(N131="",N131=0),"Not Specified",N131)</f>
        <v>3.4</v>
      </c>
      <c r="Q131" t="str" cm="1">
        <f t="array" ref="Q131">_xlfn.IFS(ISBLANK(P131),"Not Specified",OR(P131="N",P131=FALSE,P131="no",P131=0),"no",TRUE,"yes")</f>
        <v>Not Specified</v>
      </c>
      <c r="R131" s="5">
        <v>0.67</v>
      </c>
      <c r="S131">
        <f t="shared" ref="S131:S194" si="14">IF(ISBLANK(R131),"Not Specified",IF(R131&lt;=1,R131*100,R131))</f>
        <v>67</v>
      </c>
    </row>
    <row r="132" spans="1:19">
      <c r="A132" t="s">
        <v>352</v>
      </c>
      <c r="B132" t="s">
        <v>353</v>
      </c>
      <c r="C132" t="s">
        <v>21</v>
      </c>
      <c r="D132" t="str" cm="1">
        <f t="array" ref="D132">_xlfn.IFS(OR(LOWER(C132)="f",LOWER(C132)="female"),"Female",TRUE,"Male")</f>
        <v>Female</v>
      </c>
      <c r="E132">
        <v>45</v>
      </c>
      <c r="F132">
        <f t="shared" si="10"/>
        <v>45</v>
      </c>
      <c r="G132" t="s">
        <v>74</v>
      </c>
      <c r="H132" t="s">
        <v>29</v>
      </c>
      <c r="I132" t="s">
        <v>85</v>
      </c>
      <c r="J132">
        <v>14</v>
      </c>
      <c r="K132">
        <f t="shared" si="11"/>
        <v>14</v>
      </c>
      <c r="L132" t="s">
        <v>31</v>
      </c>
      <c r="M132" t="str">
        <f t="shared" si="12"/>
        <v> 100</v>
      </c>
      <c r="N132">
        <v>1.1</v>
      </c>
      <c r="O132" s="3">
        <f t="shared" si="13"/>
        <v>1.1</v>
      </c>
      <c r="P132" t="s">
        <v>166</v>
      </c>
      <c r="Q132" t="str" cm="1">
        <f t="array" ref="Q132">_xlfn.IFS(ISBLANK(P132),"Not Specified",OR(P132="N",P132=FALSE,P132="no",P132=0),"no",TRUE,"yes")</f>
        <v>no</v>
      </c>
      <c r="R132">
        <v>93</v>
      </c>
      <c r="S132">
        <f t="shared" si="14"/>
        <v>93</v>
      </c>
    </row>
    <row r="133" spans="1:19">
      <c r="A133" t="s">
        <v>354</v>
      </c>
      <c r="B133" t="s">
        <v>355</v>
      </c>
      <c r="C133" t="s">
        <v>27</v>
      </c>
      <c r="D133" t="str" cm="1">
        <f t="array" ref="D133">_xlfn.IFS(OR(LOWER(C133)="f",LOWER(C133)="female"),"Female",TRUE,"Male")</f>
        <v>Female</v>
      </c>
      <c r="E133">
        <v>57</v>
      </c>
      <c r="F133">
        <f t="shared" si="10"/>
        <v>57</v>
      </c>
      <c r="G133" t="s">
        <v>142</v>
      </c>
      <c r="H133" t="s">
        <v>143</v>
      </c>
      <c r="I133" t="s">
        <v>121</v>
      </c>
      <c r="J133">
        <v>0</v>
      </c>
      <c r="K133">
        <f t="shared" si="11"/>
        <v>0</v>
      </c>
      <c r="L133">
        <v>50</v>
      </c>
      <c r="M133" t="str">
        <f t="shared" si="12"/>
        <v>50</v>
      </c>
      <c r="N133">
        <v>1.6</v>
      </c>
      <c r="O133" s="3">
        <f t="shared" si="13"/>
        <v>1.6</v>
      </c>
      <c r="P133" t="s">
        <v>38</v>
      </c>
      <c r="Q133" t="str" cm="1">
        <f t="array" ref="Q133">_xlfn.IFS(ISBLANK(P133),"Not Specified",OR(P133="N",P133=FALSE,P133="no",P133=0),"no",TRUE,"yes")</f>
        <v>no</v>
      </c>
      <c r="R133" s="5">
        <v>0.6</v>
      </c>
      <c r="S133">
        <f t="shared" si="14"/>
        <v>60</v>
      </c>
    </row>
    <row r="134" spans="1:19">
      <c r="A134" t="s">
        <v>356</v>
      </c>
      <c r="B134" t="s">
        <v>357</v>
      </c>
      <c r="C134" t="s">
        <v>68</v>
      </c>
      <c r="D134" t="str" cm="1">
        <f t="array" ref="D134">_xlfn.IFS(OR(LOWER(C134)="f",LOWER(C134)="female"),"Female",TRUE,"Male")</f>
        <v>Male</v>
      </c>
      <c r="E134">
        <v>50</v>
      </c>
      <c r="F134">
        <f t="shared" si="10"/>
        <v>50</v>
      </c>
      <c r="G134" t="s">
        <v>100</v>
      </c>
      <c r="H134" t="s">
        <v>101</v>
      </c>
      <c r="I134" t="s">
        <v>42</v>
      </c>
      <c r="J134">
        <v>22</v>
      </c>
      <c r="K134">
        <f t="shared" si="11"/>
        <v>22</v>
      </c>
      <c r="L134">
        <v>100</v>
      </c>
      <c r="M134" t="str">
        <f t="shared" si="12"/>
        <v>100</v>
      </c>
      <c r="N134">
        <v>4.1</v>
      </c>
      <c r="O134" s="3">
        <f t="shared" si="13"/>
        <v>4.1</v>
      </c>
      <c r="P134" t="s">
        <v>38</v>
      </c>
      <c r="Q134" t="str" cm="1">
        <f t="array" ref="Q134">_xlfn.IFS(ISBLANK(P134),"Not Specified",OR(P134="N",P134=FALSE,P134="no",P134=0),"no",TRUE,"yes")</f>
        <v>no</v>
      </c>
      <c r="R134" s="5">
        <v>0.62</v>
      </c>
      <c r="S134">
        <f t="shared" si="14"/>
        <v>62</v>
      </c>
    </row>
    <row r="135" spans="1:19">
      <c r="A135" t="s">
        <v>358</v>
      </c>
      <c r="B135" t="s">
        <v>359</v>
      </c>
      <c r="C135" t="s">
        <v>27</v>
      </c>
      <c r="D135" t="str" cm="1">
        <f t="array" ref="D135">_xlfn.IFS(OR(LOWER(C135)="f",LOWER(C135)="female"),"Female",TRUE,"Male")</f>
        <v>Female</v>
      </c>
      <c r="F135" t="str">
        <f t="shared" si="10"/>
        <v>Not Specified</v>
      </c>
      <c r="G135" t="s">
        <v>114</v>
      </c>
      <c r="H135" t="s">
        <v>115</v>
      </c>
      <c r="I135" t="s">
        <v>121</v>
      </c>
      <c r="J135">
        <v>4</v>
      </c>
      <c r="K135">
        <f t="shared" si="11"/>
        <v>4</v>
      </c>
      <c r="M135" t="str">
        <f t="shared" si="12"/>
        <v>Not Specified</v>
      </c>
      <c r="N135">
        <v>2.5</v>
      </c>
      <c r="O135" s="3">
        <f t="shared" si="13"/>
        <v>2.5</v>
      </c>
      <c r="Q135" t="str" cm="1">
        <f t="array" ref="Q135">_xlfn.IFS(ISBLANK(P135),"Not Specified",OR(P135="N",P135=FALSE,P135="no",P135=0),"no",TRUE,"yes")</f>
        <v>Not Specified</v>
      </c>
      <c r="R135" s="5">
        <v>0.7</v>
      </c>
      <c r="S135">
        <f t="shared" si="14"/>
        <v>70</v>
      </c>
    </row>
    <row r="136" spans="1:19">
      <c r="A136" t="s">
        <v>360</v>
      </c>
      <c r="B136" t="s">
        <v>361</v>
      </c>
      <c r="C136" t="s">
        <v>84</v>
      </c>
      <c r="D136" t="str" cm="1">
        <f t="array" ref="D136">_xlfn.IFS(OR(LOWER(C136)="f",LOWER(C136)="female"),"Female",TRUE,"Male")</f>
        <v>Female</v>
      </c>
      <c r="E136">
        <v>45</v>
      </c>
      <c r="F136">
        <f t="shared" si="10"/>
        <v>45</v>
      </c>
      <c r="G136" t="s">
        <v>56</v>
      </c>
      <c r="H136" t="s">
        <v>57</v>
      </c>
      <c r="I136" t="s">
        <v>24</v>
      </c>
      <c r="J136">
        <v>22</v>
      </c>
      <c r="K136">
        <f t="shared" si="11"/>
        <v>22</v>
      </c>
      <c r="L136" t="s">
        <v>236</v>
      </c>
      <c r="M136" t="str">
        <f t="shared" si="12"/>
        <v>100</v>
      </c>
      <c r="N136">
        <v>4</v>
      </c>
      <c r="O136" s="3">
        <f t="shared" si="13"/>
        <v>4</v>
      </c>
      <c r="P136" t="s">
        <v>81</v>
      </c>
      <c r="Q136" t="str" cm="1">
        <f t="array" ref="Q136">_xlfn.IFS(ISBLANK(P136),"Not Specified",OR(P136="N",P136=FALSE,P136="no",P136=0),"no",TRUE,"yes")</f>
        <v>yes</v>
      </c>
      <c r="R136" s="5">
        <v>0.75</v>
      </c>
      <c r="S136">
        <f t="shared" si="14"/>
        <v>75</v>
      </c>
    </row>
    <row r="137" spans="1:19">
      <c r="A137" t="s">
        <v>362</v>
      </c>
      <c r="B137" t="s">
        <v>363</v>
      </c>
      <c r="C137" t="s">
        <v>68</v>
      </c>
      <c r="D137" t="str" cm="1">
        <f t="array" ref="D137">_xlfn.IFS(OR(LOWER(C137)="f",LOWER(C137)="female"),"Female",TRUE,"Male")</f>
        <v>Male</v>
      </c>
      <c r="E137">
        <v>60</v>
      </c>
      <c r="F137">
        <f t="shared" si="10"/>
        <v>60</v>
      </c>
      <c r="G137" t="s">
        <v>160</v>
      </c>
      <c r="H137" t="s">
        <v>161</v>
      </c>
      <c r="I137" t="s">
        <v>85</v>
      </c>
      <c r="J137">
        <v>39</v>
      </c>
      <c r="K137">
        <f t="shared" si="11"/>
        <v>39</v>
      </c>
      <c r="L137">
        <v>75</v>
      </c>
      <c r="M137" t="str">
        <f t="shared" si="12"/>
        <v>75</v>
      </c>
      <c r="N137">
        <v>1.4</v>
      </c>
      <c r="O137" s="3">
        <f t="shared" si="13"/>
        <v>1.4</v>
      </c>
      <c r="P137" t="s">
        <v>166</v>
      </c>
      <c r="Q137" t="str" cm="1">
        <f t="array" ref="Q137">_xlfn.IFS(ISBLANK(P137),"Not Specified",OR(P137="N",P137=FALSE,P137="no",P137=0),"no",TRUE,"yes")</f>
        <v>no</v>
      </c>
      <c r="R137" s="5">
        <v>0.7</v>
      </c>
      <c r="S137">
        <f t="shared" si="14"/>
        <v>70</v>
      </c>
    </row>
    <row r="138" spans="1:19">
      <c r="A138" t="s">
        <v>364</v>
      </c>
      <c r="B138" t="s">
        <v>365</v>
      </c>
      <c r="C138" t="s">
        <v>46</v>
      </c>
      <c r="D138" t="str" cm="1">
        <f t="array" ref="D138">_xlfn.IFS(OR(LOWER(C138)="f",LOWER(C138)="female"),"Female",TRUE,"Male")</f>
        <v>Female</v>
      </c>
      <c r="E138">
        <v>43</v>
      </c>
      <c r="F138">
        <f t="shared" si="10"/>
        <v>43</v>
      </c>
      <c r="G138" t="s">
        <v>74</v>
      </c>
      <c r="H138" t="s">
        <v>29</v>
      </c>
      <c r="I138" t="s">
        <v>85</v>
      </c>
      <c r="J138">
        <v>5</v>
      </c>
      <c r="K138">
        <f t="shared" si="11"/>
        <v>5</v>
      </c>
      <c r="L138" t="s">
        <v>105</v>
      </c>
      <c r="M138" t="str">
        <f t="shared" si="12"/>
        <v> 50</v>
      </c>
      <c r="O138" s="3" t="str">
        <f t="shared" si="13"/>
        <v>Not Specified</v>
      </c>
      <c r="P138">
        <v>1</v>
      </c>
      <c r="Q138" t="str" cm="1">
        <f t="array" ref="Q138">_xlfn.IFS(ISBLANK(P138),"Not Specified",OR(P138="N",P138=FALSE,P138="no",P138=0),"no",TRUE,"yes")</f>
        <v>yes</v>
      </c>
      <c r="R138" s="5">
        <v>0.84</v>
      </c>
      <c r="S138">
        <f t="shared" si="14"/>
        <v>84</v>
      </c>
    </row>
    <row r="139" spans="1:19">
      <c r="A139" t="s">
        <v>366</v>
      </c>
      <c r="B139" t="s">
        <v>367</v>
      </c>
      <c r="C139" t="s">
        <v>41</v>
      </c>
      <c r="D139" t="str" cm="1">
        <f t="array" ref="D139">_xlfn.IFS(OR(LOWER(C139)="f",LOWER(C139)="female"),"Female",TRUE,"Male")</f>
        <v>Female</v>
      </c>
      <c r="E139">
        <v>39</v>
      </c>
      <c r="F139">
        <f t="shared" si="10"/>
        <v>39</v>
      </c>
      <c r="G139" t="s">
        <v>142</v>
      </c>
      <c r="H139" t="s">
        <v>143</v>
      </c>
      <c r="I139" t="s">
        <v>85</v>
      </c>
      <c r="J139">
        <v>5</v>
      </c>
      <c r="K139">
        <f t="shared" si="11"/>
        <v>5</v>
      </c>
      <c r="L139" t="s">
        <v>62</v>
      </c>
      <c r="M139" t="str">
        <f t="shared" si="12"/>
        <v> 40</v>
      </c>
      <c r="N139">
        <v>1.2</v>
      </c>
      <c r="O139" s="3">
        <f t="shared" si="13"/>
        <v>1.2</v>
      </c>
      <c r="P139">
        <v>0</v>
      </c>
      <c r="Q139" t="str" cm="1">
        <f t="array" ref="Q139">_xlfn.IFS(ISBLANK(P139),"Not Specified",OR(P139="N",P139=FALSE,P139="no",P139=0),"no",TRUE,"yes")</f>
        <v>no</v>
      </c>
      <c r="R139">
        <v>83</v>
      </c>
      <c r="S139">
        <f t="shared" si="14"/>
        <v>83</v>
      </c>
    </row>
    <row r="140" spans="1:19">
      <c r="A140" t="s">
        <v>368</v>
      </c>
      <c r="B140" t="s">
        <v>369</v>
      </c>
      <c r="C140" t="s">
        <v>34</v>
      </c>
      <c r="D140" t="str" cm="1">
        <f t="array" ref="D140">_xlfn.IFS(OR(LOWER(C140)="f",LOWER(C140)="female"),"Female",TRUE,"Male")</f>
        <v>Male</v>
      </c>
      <c r="E140">
        <v>26</v>
      </c>
      <c r="F140">
        <f t="shared" si="10"/>
        <v>26</v>
      </c>
      <c r="G140" t="s">
        <v>186</v>
      </c>
      <c r="H140" t="s">
        <v>79</v>
      </c>
      <c r="I140" t="s">
        <v>80</v>
      </c>
      <c r="J140">
        <v>5</v>
      </c>
      <c r="K140">
        <f t="shared" si="11"/>
        <v>5</v>
      </c>
      <c r="L140">
        <v>50</v>
      </c>
      <c r="M140" t="str">
        <f t="shared" si="12"/>
        <v>50</v>
      </c>
      <c r="N140">
        <v>0</v>
      </c>
      <c r="O140" s="3" t="str">
        <f t="shared" si="13"/>
        <v>Not Specified</v>
      </c>
      <c r="P140" t="s">
        <v>38</v>
      </c>
      <c r="Q140" t="str" cm="1">
        <f t="array" ref="Q140">_xlfn.IFS(ISBLANK(P140),"Not Specified",OR(P140="N",P140=FALSE,P140="no",P140=0),"no",TRUE,"yes")</f>
        <v>no</v>
      </c>
      <c r="S140" t="str">
        <f t="shared" si="14"/>
        <v>Not Specified</v>
      </c>
    </row>
    <row r="141" spans="1:19">
      <c r="A141" t="s">
        <v>370</v>
      </c>
      <c r="B141" t="s">
        <v>371</v>
      </c>
      <c r="C141" t="s">
        <v>55</v>
      </c>
      <c r="D141" t="str" cm="1">
        <f t="array" ref="D141">_xlfn.IFS(OR(LOWER(C141)="f",LOWER(C141)="female"),"Female",TRUE,"Male")</f>
        <v>Male</v>
      </c>
      <c r="E141">
        <v>31</v>
      </c>
      <c r="F141">
        <f t="shared" si="10"/>
        <v>31</v>
      </c>
      <c r="G141" t="s">
        <v>35</v>
      </c>
      <c r="H141" t="s">
        <v>36</v>
      </c>
      <c r="I141" t="s">
        <v>85</v>
      </c>
      <c r="J141">
        <v>11</v>
      </c>
      <c r="K141">
        <f t="shared" si="11"/>
        <v>11</v>
      </c>
      <c r="L141">
        <v>50</v>
      </c>
      <c r="M141" t="str">
        <f t="shared" si="12"/>
        <v>50</v>
      </c>
      <c r="N141">
        <v>3.1</v>
      </c>
      <c r="O141" s="3">
        <f t="shared" si="13"/>
        <v>3.1</v>
      </c>
      <c r="P141" t="b">
        <v>0</v>
      </c>
      <c r="Q141" t="str" cm="1">
        <f t="array" ref="Q141">_xlfn.IFS(ISBLANK(P141),"Not Specified",OR(P141="N",P141=FALSE,P141="no",P141=0),"no",TRUE,"yes")</f>
        <v>no</v>
      </c>
      <c r="R141" s="5">
        <v>0.88</v>
      </c>
      <c r="S141">
        <f t="shared" si="14"/>
        <v>88</v>
      </c>
    </row>
    <row r="142" spans="1:19">
      <c r="A142" t="s">
        <v>372</v>
      </c>
      <c r="B142" t="s">
        <v>373</v>
      </c>
      <c r="C142" t="s">
        <v>55</v>
      </c>
      <c r="D142" t="str" cm="1">
        <f t="array" ref="D142">_xlfn.IFS(OR(LOWER(C142)="f",LOWER(C142)="female"),"Female",TRUE,"Male")</f>
        <v>Male</v>
      </c>
      <c r="E142">
        <v>52</v>
      </c>
      <c r="F142">
        <f t="shared" si="10"/>
        <v>52</v>
      </c>
      <c r="G142" t="s">
        <v>142</v>
      </c>
      <c r="H142" t="s">
        <v>143</v>
      </c>
      <c r="I142" t="s">
        <v>80</v>
      </c>
      <c r="J142">
        <v>15</v>
      </c>
      <c r="K142">
        <f t="shared" si="11"/>
        <v>15</v>
      </c>
      <c r="L142">
        <v>50</v>
      </c>
      <c r="M142" t="str">
        <f t="shared" si="12"/>
        <v>50</v>
      </c>
      <c r="N142">
        <v>0</v>
      </c>
      <c r="O142" s="3" t="str">
        <f t="shared" si="13"/>
        <v>Not Specified</v>
      </c>
      <c r="P142" t="s">
        <v>75</v>
      </c>
      <c r="Q142" t="str" cm="1">
        <f t="array" ref="Q142">_xlfn.IFS(ISBLANK(P142),"Not Specified",OR(P142="N",P142=FALSE,P142="no",P142=0),"no",TRUE,"yes")</f>
        <v>yes</v>
      </c>
      <c r="R142" s="5">
        <v>0.81</v>
      </c>
      <c r="S142">
        <f t="shared" si="14"/>
        <v>81</v>
      </c>
    </row>
    <row r="143" spans="1:19">
      <c r="A143" t="s">
        <v>374</v>
      </c>
      <c r="B143" t="s">
        <v>375</v>
      </c>
      <c r="C143" t="s">
        <v>46</v>
      </c>
      <c r="D143" t="str" cm="1">
        <f t="array" ref="D143">_xlfn.IFS(OR(LOWER(C143)="f",LOWER(C143)="female"),"Female",TRUE,"Male")</f>
        <v>Female</v>
      </c>
      <c r="E143">
        <v>34</v>
      </c>
      <c r="F143">
        <f t="shared" si="10"/>
        <v>34</v>
      </c>
      <c r="G143" t="s">
        <v>100</v>
      </c>
      <c r="H143" t="s">
        <v>101</v>
      </c>
      <c r="I143" t="s">
        <v>58</v>
      </c>
      <c r="J143">
        <v>5</v>
      </c>
      <c r="K143">
        <f t="shared" si="11"/>
        <v>5</v>
      </c>
      <c r="L143" t="s">
        <v>321</v>
      </c>
      <c r="M143" t="str">
        <f t="shared" si="12"/>
        <v> 20</v>
      </c>
      <c r="N143">
        <v>2.2</v>
      </c>
      <c r="O143" s="3">
        <f t="shared" si="13"/>
        <v>2.2</v>
      </c>
      <c r="P143" t="s">
        <v>81</v>
      </c>
      <c r="Q143" t="str" cm="1">
        <f t="array" ref="Q143">_xlfn.IFS(ISBLANK(P143),"Not Specified",OR(P143="N",P143=FALSE,P143="no",P143=0),"no",TRUE,"yes")</f>
        <v>yes</v>
      </c>
      <c r="R143" s="5">
        <v>0.8</v>
      </c>
      <c r="S143">
        <f t="shared" si="14"/>
        <v>80</v>
      </c>
    </row>
    <row r="144" spans="1:19">
      <c r="A144" t="s">
        <v>376</v>
      </c>
      <c r="B144" t="s">
        <v>377</v>
      </c>
      <c r="C144" t="s">
        <v>34</v>
      </c>
      <c r="D144" t="str" cm="1">
        <f t="array" ref="D144">_xlfn.IFS(OR(LOWER(C144)="f",LOWER(C144)="female"),"Female",TRUE,"Male")</f>
        <v>Male</v>
      </c>
      <c r="E144">
        <v>45</v>
      </c>
      <c r="F144">
        <f t="shared" si="10"/>
        <v>45</v>
      </c>
      <c r="G144" t="s">
        <v>74</v>
      </c>
      <c r="H144" t="s">
        <v>29</v>
      </c>
      <c r="I144" t="s">
        <v>42</v>
      </c>
      <c r="J144">
        <v>7</v>
      </c>
      <c r="K144">
        <f t="shared" si="11"/>
        <v>7</v>
      </c>
      <c r="L144">
        <v>75</v>
      </c>
      <c r="M144" t="str">
        <f t="shared" si="12"/>
        <v>75</v>
      </c>
      <c r="N144">
        <v>3</v>
      </c>
      <c r="O144" s="3">
        <f t="shared" si="13"/>
        <v>3</v>
      </c>
      <c r="P144">
        <v>1</v>
      </c>
      <c r="Q144" t="str" cm="1">
        <f t="array" ref="Q144">_xlfn.IFS(ISBLANK(P144),"Not Specified",OR(P144="N",P144=FALSE,P144="no",P144=0),"no",TRUE,"yes")</f>
        <v>yes</v>
      </c>
      <c r="R144" s="5">
        <v>0.67</v>
      </c>
      <c r="S144">
        <f t="shared" si="14"/>
        <v>67</v>
      </c>
    </row>
    <row r="145" spans="1:19">
      <c r="A145" t="s">
        <v>378</v>
      </c>
      <c r="B145" t="s">
        <v>379</v>
      </c>
      <c r="C145" t="s">
        <v>55</v>
      </c>
      <c r="D145" t="str" cm="1">
        <f t="array" ref="D145">_xlfn.IFS(OR(LOWER(C145)="f",LOWER(C145)="female"),"Female",TRUE,"Male")</f>
        <v>Male</v>
      </c>
      <c r="E145">
        <v>46</v>
      </c>
      <c r="F145">
        <f t="shared" si="10"/>
        <v>46</v>
      </c>
      <c r="G145" t="s">
        <v>74</v>
      </c>
      <c r="H145" t="s">
        <v>29</v>
      </c>
      <c r="I145" t="s">
        <v>85</v>
      </c>
      <c r="J145">
        <v>9</v>
      </c>
      <c r="K145">
        <f t="shared" si="11"/>
        <v>9</v>
      </c>
      <c r="L145" t="s">
        <v>128</v>
      </c>
      <c r="M145" t="str">
        <f t="shared" si="12"/>
        <v>20</v>
      </c>
      <c r="N145">
        <v>0</v>
      </c>
      <c r="O145" s="3" t="str">
        <f t="shared" si="13"/>
        <v>Not Specified</v>
      </c>
      <c r="P145" t="s">
        <v>38</v>
      </c>
      <c r="Q145" t="str" cm="1">
        <f t="array" ref="Q145">_xlfn.IFS(ISBLANK(P145),"Not Specified",OR(P145="N",P145=FALSE,P145="no",P145=0),"no",TRUE,"yes")</f>
        <v>no</v>
      </c>
      <c r="R145" s="5">
        <v>0.82</v>
      </c>
      <c r="S145">
        <f t="shared" si="14"/>
        <v>82</v>
      </c>
    </row>
    <row r="146" spans="1:19">
      <c r="A146" t="s">
        <v>380</v>
      </c>
      <c r="B146" t="s">
        <v>381</v>
      </c>
      <c r="C146" t="s">
        <v>55</v>
      </c>
      <c r="D146" t="str" cm="1">
        <f t="array" ref="D146">_xlfn.IFS(OR(LOWER(C146)="f",LOWER(C146)="female"),"Female",TRUE,"Male")</f>
        <v>Male</v>
      </c>
      <c r="E146">
        <v>56</v>
      </c>
      <c r="F146">
        <f t="shared" si="10"/>
        <v>56</v>
      </c>
      <c r="G146" t="s">
        <v>142</v>
      </c>
      <c r="H146" t="s">
        <v>143</v>
      </c>
      <c r="I146" t="s">
        <v>80</v>
      </c>
      <c r="J146">
        <v>21</v>
      </c>
      <c r="K146">
        <f t="shared" si="11"/>
        <v>21</v>
      </c>
      <c r="L146" t="s">
        <v>31</v>
      </c>
      <c r="M146" t="str">
        <f t="shared" si="12"/>
        <v> 100</v>
      </c>
      <c r="N146">
        <v>0</v>
      </c>
      <c r="O146" s="3" t="str">
        <f t="shared" si="13"/>
        <v>Not Specified</v>
      </c>
      <c r="P146" t="b">
        <v>1</v>
      </c>
      <c r="Q146" t="str" cm="1">
        <f t="array" ref="Q146">_xlfn.IFS(ISBLANK(P146),"Not Specified",OR(P146="N",P146=FALSE,P146="no",P146=0),"no",TRUE,"yes")</f>
        <v>yes</v>
      </c>
      <c r="R146">
        <v>78</v>
      </c>
      <c r="S146">
        <f t="shared" si="14"/>
        <v>78</v>
      </c>
    </row>
    <row r="147" spans="1:19">
      <c r="A147" t="s">
        <v>382</v>
      </c>
      <c r="B147" t="s">
        <v>383</v>
      </c>
      <c r="C147" t="s">
        <v>27</v>
      </c>
      <c r="D147" t="str" cm="1">
        <f t="array" ref="D147">_xlfn.IFS(OR(LOWER(C147)="f",LOWER(C147)="female"),"Female",TRUE,"Male")</f>
        <v>Female</v>
      </c>
      <c r="E147">
        <v>59</v>
      </c>
      <c r="F147">
        <f t="shared" si="10"/>
        <v>59</v>
      </c>
      <c r="G147" t="s">
        <v>35</v>
      </c>
      <c r="H147" t="s">
        <v>36</v>
      </c>
      <c r="I147" t="s">
        <v>51</v>
      </c>
      <c r="J147">
        <v>7</v>
      </c>
      <c r="K147">
        <f t="shared" si="11"/>
        <v>7</v>
      </c>
      <c r="L147" t="s">
        <v>43</v>
      </c>
      <c r="M147" t="str">
        <f t="shared" si="12"/>
        <v>40</v>
      </c>
      <c r="N147">
        <v>1.4</v>
      </c>
      <c r="O147" s="3">
        <f t="shared" si="13"/>
        <v>1.4</v>
      </c>
      <c r="P147" t="b">
        <v>0</v>
      </c>
      <c r="Q147" t="str" cm="1">
        <f t="array" ref="Q147">_xlfn.IFS(ISBLANK(P147),"Not Specified",OR(P147="N",P147=FALSE,P147="no",P147=0),"no",TRUE,"yes")</f>
        <v>no</v>
      </c>
      <c r="R147" s="5">
        <v>0.81</v>
      </c>
      <c r="S147">
        <f t="shared" si="14"/>
        <v>81</v>
      </c>
    </row>
    <row r="148" spans="1:19">
      <c r="A148" t="s">
        <v>384</v>
      </c>
      <c r="B148" t="s">
        <v>385</v>
      </c>
      <c r="C148" t="s">
        <v>27</v>
      </c>
      <c r="D148" t="str" cm="1">
        <f t="array" ref="D148">_xlfn.IFS(OR(LOWER(C148)="f",LOWER(C148)="female"),"Female",TRUE,"Male")</f>
        <v>Female</v>
      </c>
      <c r="E148">
        <v>54</v>
      </c>
      <c r="F148">
        <f t="shared" si="10"/>
        <v>54</v>
      </c>
      <c r="G148" t="s">
        <v>146</v>
      </c>
      <c r="H148" t="s">
        <v>147</v>
      </c>
      <c r="I148" t="s">
        <v>24</v>
      </c>
      <c r="J148">
        <v>4</v>
      </c>
      <c r="K148">
        <f t="shared" si="11"/>
        <v>4</v>
      </c>
      <c r="M148" t="str">
        <f t="shared" si="12"/>
        <v>Not Specified</v>
      </c>
      <c r="N148">
        <v>1.4</v>
      </c>
      <c r="O148" s="3">
        <f t="shared" si="13"/>
        <v>1.4</v>
      </c>
      <c r="P148" t="b">
        <v>1</v>
      </c>
      <c r="Q148" t="str" cm="1">
        <f t="array" ref="Q148">_xlfn.IFS(ISBLANK(P148),"Not Specified",OR(P148="N",P148=FALSE,P148="no",P148=0),"no",TRUE,"yes")</f>
        <v>yes</v>
      </c>
      <c r="R148" s="5">
        <v>0.74</v>
      </c>
      <c r="S148">
        <f t="shared" si="14"/>
        <v>74</v>
      </c>
    </row>
    <row r="149" spans="1:19">
      <c r="A149" t="s">
        <v>386</v>
      </c>
      <c r="B149" t="s">
        <v>387</v>
      </c>
      <c r="C149" t="s">
        <v>99</v>
      </c>
      <c r="D149" t="str" cm="1">
        <f t="array" ref="D149">_xlfn.IFS(OR(LOWER(C149)="f",LOWER(C149)="female"),"Female",TRUE,"Male")</f>
        <v>Male</v>
      </c>
      <c r="E149">
        <v>36</v>
      </c>
      <c r="F149">
        <f t="shared" si="10"/>
        <v>36</v>
      </c>
      <c r="G149" t="s">
        <v>35</v>
      </c>
      <c r="H149" t="s">
        <v>36</v>
      </c>
      <c r="I149" t="s">
        <v>80</v>
      </c>
      <c r="J149">
        <v>7</v>
      </c>
      <c r="K149">
        <f t="shared" si="11"/>
        <v>7</v>
      </c>
      <c r="L149">
        <v>30</v>
      </c>
      <c r="M149" t="str">
        <f t="shared" si="12"/>
        <v>30</v>
      </c>
      <c r="N149">
        <v>0</v>
      </c>
      <c r="O149" s="3" t="str">
        <f t="shared" si="13"/>
        <v>Not Specified</v>
      </c>
      <c r="P149" t="s">
        <v>38</v>
      </c>
      <c r="Q149" t="str" cm="1">
        <f t="array" ref="Q149">_xlfn.IFS(ISBLANK(P149),"Not Specified",OR(P149="N",P149=FALSE,P149="no",P149=0),"no",TRUE,"yes")</f>
        <v>no</v>
      </c>
      <c r="R149" s="5">
        <v>0.88</v>
      </c>
      <c r="S149">
        <f t="shared" si="14"/>
        <v>88</v>
      </c>
    </row>
    <row r="150" spans="1:19">
      <c r="A150" t="s">
        <v>388</v>
      </c>
      <c r="B150" t="s">
        <v>389</v>
      </c>
      <c r="C150" t="s">
        <v>34</v>
      </c>
      <c r="D150" t="str" cm="1">
        <f t="array" ref="D150">_xlfn.IFS(OR(LOWER(C150)="f",LOWER(C150)="female"),"Female",TRUE,"Male")</f>
        <v>Male</v>
      </c>
      <c r="E150">
        <v>25</v>
      </c>
      <c r="F150">
        <f t="shared" si="10"/>
        <v>25</v>
      </c>
      <c r="G150" t="s">
        <v>186</v>
      </c>
      <c r="H150" t="s">
        <v>79</v>
      </c>
      <c r="I150" t="s">
        <v>58</v>
      </c>
      <c r="J150">
        <v>0</v>
      </c>
      <c r="K150">
        <f t="shared" si="11"/>
        <v>0</v>
      </c>
      <c r="L150">
        <v>40</v>
      </c>
      <c r="M150" t="str">
        <f t="shared" si="12"/>
        <v>40</v>
      </c>
      <c r="N150">
        <v>0</v>
      </c>
      <c r="O150" s="3" t="str">
        <f t="shared" si="13"/>
        <v>Not Specified</v>
      </c>
      <c r="P150">
        <v>0</v>
      </c>
      <c r="Q150" t="str" cm="1">
        <f t="array" ref="Q150">_xlfn.IFS(ISBLANK(P150),"Not Specified",OR(P150="N",P150=FALSE,P150="no",P150=0),"no",TRUE,"yes")</f>
        <v>no</v>
      </c>
      <c r="R150" s="5">
        <v>0.9</v>
      </c>
      <c r="S150">
        <f t="shared" si="14"/>
        <v>90</v>
      </c>
    </row>
    <row r="151" spans="1:19">
      <c r="A151" t="s">
        <v>390</v>
      </c>
      <c r="B151" t="s">
        <v>391</v>
      </c>
      <c r="C151" t="s">
        <v>27</v>
      </c>
      <c r="D151" t="str" cm="1">
        <f t="array" ref="D151">_xlfn.IFS(OR(LOWER(C151)="f",LOWER(C151)="female"),"Female",TRUE,"Male")</f>
        <v>Female</v>
      </c>
      <c r="E151">
        <v>37</v>
      </c>
      <c r="F151">
        <f t="shared" si="10"/>
        <v>37</v>
      </c>
      <c r="G151" t="s">
        <v>131</v>
      </c>
      <c r="H151" t="s">
        <v>132</v>
      </c>
      <c r="I151" t="s">
        <v>58</v>
      </c>
      <c r="J151">
        <v>15</v>
      </c>
      <c r="K151">
        <f t="shared" si="11"/>
        <v>15</v>
      </c>
      <c r="L151" t="s">
        <v>43</v>
      </c>
      <c r="M151" t="str">
        <f t="shared" si="12"/>
        <v>40</v>
      </c>
      <c r="N151">
        <v>2.9</v>
      </c>
      <c r="O151" s="3">
        <f t="shared" si="13"/>
        <v>2.9</v>
      </c>
      <c r="P151" t="b">
        <v>0</v>
      </c>
      <c r="Q151" t="str" cm="1">
        <f t="array" ref="Q151">_xlfn.IFS(ISBLANK(P151),"Not Specified",OR(P151="N",P151=FALSE,P151="no",P151=0),"no",TRUE,"yes")</f>
        <v>no</v>
      </c>
      <c r="S151" t="str">
        <f t="shared" si="14"/>
        <v>Not Specified</v>
      </c>
    </row>
    <row r="152" spans="1:19">
      <c r="A152" t="s">
        <v>392</v>
      </c>
      <c r="B152" t="s">
        <v>393</v>
      </c>
      <c r="C152" t="s">
        <v>99</v>
      </c>
      <c r="D152" t="str" cm="1">
        <f t="array" ref="D152">_xlfn.IFS(OR(LOWER(C152)="f",LOWER(C152)="female"),"Female",TRUE,"Male")</f>
        <v>Male</v>
      </c>
      <c r="F152" t="str">
        <f t="shared" si="10"/>
        <v>Not Specified</v>
      </c>
      <c r="G152" t="s">
        <v>69</v>
      </c>
      <c r="H152" t="s">
        <v>70</v>
      </c>
      <c r="I152" t="s">
        <v>58</v>
      </c>
      <c r="J152">
        <v>10</v>
      </c>
      <c r="K152">
        <f t="shared" si="11"/>
        <v>10</v>
      </c>
      <c r="L152" t="s">
        <v>62</v>
      </c>
      <c r="M152" t="str">
        <f t="shared" si="12"/>
        <v> 40</v>
      </c>
      <c r="N152">
        <v>0</v>
      </c>
      <c r="O152" s="3" t="str">
        <f t="shared" si="13"/>
        <v>Not Specified</v>
      </c>
      <c r="Q152" t="str" cm="1">
        <f t="array" ref="Q152">_xlfn.IFS(ISBLANK(P152),"Not Specified",OR(P152="N",P152=FALSE,P152="no",P152=0),"no",TRUE,"yes")</f>
        <v>Not Specified</v>
      </c>
      <c r="S152" t="str">
        <f t="shared" si="14"/>
        <v>Not Specified</v>
      </c>
    </row>
    <row r="153" spans="1:19">
      <c r="A153" t="s">
        <v>394</v>
      </c>
      <c r="B153" t="s">
        <v>395</v>
      </c>
      <c r="C153" t="s">
        <v>55</v>
      </c>
      <c r="D153" t="str" cm="1">
        <f t="array" ref="D153">_xlfn.IFS(OR(LOWER(C153)="f",LOWER(C153)="female"),"Female",TRUE,"Male")</f>
        <v>Male</v>
      </c>
      <c r="E153">
        <v>29</v>
      </c>
      <c r="F153">
        <f t="shared" si="10"/>
        <v>29</v>
      </c>
      <c r="G153" t="s">
        <v>197</v>
      </c>
      <c r="H153" t="s">
        <v>79</v>
      </c>
      <c r="I153" t="s">
        <v>58</v>
      </c>
      <c r="J153">
        <v>11</v>
      </c>
      <c r="K153">
        <f t="shared" si="11"/>
        <v>11</v>
      </c>
      <c r="L153">
        <v>20</v>
      </c>
      <c r="M153" t="str">
        <f t="shared" si="12"/>
        <v>20</v>
      </c>
      <c r="N153">
        <v>2.7</v>
      </c>
      <c r="O153" s="3">
        <f t="shared" si="13"/>
        <v>2.7</v>
      </c>
      <c r="P153" t="s">
        <v>166</v>
      </c>
      <c r="Q153" t="str" cm="1">
        <f t="array" ref="Q153">_xlfn.IFS(ISBLANK(P153),"Not Specified",OR(P153="N",P153=FALSE,P153="no",P153=0),"no",TRUE,"yes")</f>
        <v>no</v>
      </c>
      <c r="R153" s="5">
        <v>0.93</v>
      </c>
      <c r="S153">
        <f t="shared" si="14"/>
        <v>93</v>
      </c>
    </row>
    <row r="154" spans="1:19">
      <c r="A154" t="s">
        <v>396</v>
      </c>
      <c r="B154" t="s">
        <v>397</v>
      </c>
      <c r="C154" t="s">
        <v>46</v>
      </c>
      <c r="D154" t="str" cm="1">
        <f t="array" ref="D154">_xlfn.IFS(OR(LOWER(C154)="f",LOWER(C154)="female"),"Female",TRUE,"Male")</f>
        <v>Female</v>
      </c>
      <c r="E154">
        <v>55</v>
      </c>
      <c r="F154">
        <f t="shared" si="10"/>
        <v>55</v>
      </c>
      <c r="G154" t="s">
        <v>78</v>
      </c>
      <c r="H154" t="s">
        <v>79</v>
      </c>
      <c r="I154" t="s">
        <v>30</v>
      </c>
      <c r="J154">
        <v>12</v>
      </c>
      <c r="K154">
        <f t="shared" si="11"/>
        <v>12</v>
      </c>
      <c r="L154">
        <v>100</v>
      </c>
      <c r="M154" t="str">
        <f t="shared" si="12"/>
        <v>100</v>
      </c>
      <c r="N154">
        <v>1.8</v>
      </c>
      <c r="O154" s="3">
        <f t="shared" si="13"/>
        <v>1.8</v>
      </c>
      <c r="P154">
        <v>1</v>
      </c>
      <c r="Q154" t="str" cm="1">
        <f t="array" ref="Q154">_xlfn.IFS(ISBLANK(P154),"Not Specified",OR(P154="N",P154=FALSE,P154="no",P154=0),"no",TRUE,"yes")</f>
        <v>yes</v>
      </c>
      <c r="S154" t="str">
        <f t="shared" si="14"/>
        <v>Not Specified</v>
      </c>
    </row>
    <row r="155" spans="1:19">
      <c r="A155" t="s">
        <v>398</v>
      </c>
      <c r="B155" t="s">
        <v>399</v>
      </c>
      <c r="C155" t="s">
        <v>84</v>
      </c>
      <c r="D155" t="str" cm="1">
        <f t="array" ref="D155">_xlfn.IFS(OR(LOWER(C155)="f",LOWER(C155)="female"),"Female",TRUE,"Male")</f>
        <v>Female</v>
      </c>
      <c r="E155">
        <v>38</v>
      </c>
      <c r="F155">
        <f t="shared" si="10"/>
        <v>38</v>
      </c>
      <c r="G155" t="s">
        <v>92</v>
      </c>
      <c r="H155" t="s">
        <v>93</v>
      </c>
      <c r="I155" t="s">
        <v>96</v>
      </c>
      <c r="J155">
        <v>20</v>
      </c>
      <c r="K155">
        <f t="shared" si="11"/>
        <v>20</v>
      </c>
      <c r="L155" t="s">
        <v>177</v>
      </c>
      <c r="M155" t="str">
        <f t="shared" si="12"/>
        <v>75</v>
      </c>
      <c r="N155">
        <v>1.1</v>
      </c>
      <c r="O155" s="3">
        <f t="shared" si="13"/>
        <v>1.1</v>
      </c>
      <c r="P155" t="s">
        <v>166</v>
      </c>
      <c r="Q155" t="str" cm="1">
        <f t="array" ref="Q155">_xlfn.IFS(ISBLANK(P155),"Not Specified",OR(P155="N",P155=FALSE,P155="no",P155=0),"no",TRUE,"yes")</f>
        <v>no</v>
      </c>
      <c r="R155" s="5">
        <v>0.71</v>
      </c>
      <c r="S155">
        <f t="shared" si="14"/>
        <v>71</v>
      </c>
    </row>
    <row r="156" spans="1:19">
      <c r="A156" t="s">
        <v>400</v>
      </c>
      <c r="B156" t="s">
        <v>401</v>
      </c>
      <c r="C156" t="s">
        <v>104</v>
      </c>
      <c r="D156" t="str" cm="1">
        <f t="array" ref="D156">_xlfn.IFS(OR(LOWER(C156)="f",LOWER(C156)="female"),"Female",TRUE,"Male")</f>
        <v>Male</v>
      </c>
      <c r="E156">
        <v>47</v>
      </c>
      <c r="F156">
        <f t="shared" si="10"/>
        <v>47</v>
      </c>
      <c r="G156" t="s">
        <v>119</v>
      </c>
      <c r="H156" t="s">
        <v>120</v>
      </c>
      <c r="I156" t="s">
        <v>96</v>
      </c>
      <c r="J156">
        <v>29</v>
      </c>
      <c r="K156">
        <f t="shared" si="11"/>
        <v>29</v>
      </c>
      <c r="L156" t="s">
        <v>43</v>
      </c>
      <c r="M156" t="str">
        <f t="shared" si="12"/>
        <v>40</v>
      </c>
      <c r="N156">
        <v>4.3</v>
      </c>
      <c r="O156" s="3">
        <f t="shared" si="13"/>
        <v>4.3</v>
      </c>
      <c r="P156">
        <v>1</v>
      </c>
      <c r="Q156" t="str" cm="1">
        <f t="array" ref="Q156">_xlfn.IFS(ISBLANK(P156),"Not Specified",OR(P156="N",P156=FALSE,P156="no",P156=0),"no",TRUE,"yes")</f>
        <v>yes</v>
      </c>
      <c r="R156" s="5">
        <v>0.95</v>
      </c>
      <c r="S156">
        <f t="shared" si="14"/>
        <v>95</v>
      </c>
    </row>
    <row r="157" spans="1:19">
      <c r="A157" t="s">
        <v>402</v>
      </c>
      <c r="B157" t="s">
        <v>403</v>
      </c>
      <c r="C157" t="s">
        <v>99</v>
      </c>
      <c r="D157" t="str" cm="1">
        <f t="array" ref="D157">_xlfn.IFS(OR(LOWER(C157)="f",LOWER(C157)="female"),"Female",TRUE,"Male")</f>
        <v>Male</v>
      </c>
      <c r="E157">
        <v>60</v>
      </c>
      <c r="F157">
        <f t="shared" si="10"/>
        <v>60</v>
      </c>
      <c r="G157" t="s">
        <v>114</v>
      </c>
      <c r="H157" t="s">
        <v>115</v>
      </c>
      <c r="I157" t="s">
        <v>42</v>
      </c>
      <c r="J157">
        <v>15</v>
      </c>
      <c r="K157">
        <f t="shared" si="11"/>
        <v>15</v>
      </c>
      <c r="L157">
        <v>100</v>
      </c>
      <c r="M157" t="str">
        <f t="shared" si="12"/>
        <v>100</v>
      </c>
      <c r="N157">
        <v>1.5</v>
      </c>
      <c r="O157" s="3">
        <f t="shared" si="13"/>
        <v>1.5</v>
      </c>
      <c r="P157">
        <v>0</v>
      </c>
      <c r="Q157" t="str" cm="1">
        <f t="array" ref="Q157">_xlfn.IFS(ISBLANK(P157),"Not Specified",OR(P157="N",P157=FALSE,P157="no",P157=0),"no",TRUE,"yes")</f>
        <v>no</v>
      </c>
      <c r="R157">
        <v>80</v>
      </c>
      <c r="S157">
        <f t="shared" si="14"/>
        <v>80</v>
      </c>
    </row>
    <row r="158" spans="1:19">
      <c r="A158" t="s">
        <v>404</v>
      </c>
      <c r="B158" t="s">
        <v>405</v>
      </c>
      <c r="C158" t="s">
        <v>27</v>
      </c>
      <c r="D158" t="str" cm="1">
        <f t="array" ref="D158">_xlfn.IFS(OR(LOWER(C158)="f",LOWER(C158)="female"),"Female",TRUE,"Male")</f>
        <v>Female</v>
      </c>
      <c r="E158">
        <v>43</v>
      </c>
      <c r="F158">
        <f t="shared" si="10"/>
        <v>43</v>
      </c>
      <c r="G158" t="s">
        <v>22</v>
      </c>
      <c r="H158" t="s">
        <v>23</v>
      </c>
      <c r="I158" t="s">
        <v>58</v>
      </c>
      <c r="J158">
        <v>9</v>
      </c>
      <c r="K158">
        <f t="shared" si="11"/>
        <v>9</v>
      </c>
      <c r="L158" t="s">
        <v>128</v>
      </c>
      <c r="M158" t="str">
        <f t="shared" si="12"/>
        <v>20</v>
      </c>
      <c r="N158">
        <v>2.2</v>
      </c>
      <c r="O158" s="3">
        <f t="shared" si="13"/>
        <v>2.2</v>
      </c>
      <c r="P158" t="s">
        <v>38</v>
      </c>
      <c r="Q158" t="str" cm="1">
        <f t="array" ref="Q158">_xlfn.IFS(ISBLANK(P158),"Not Specified",OR(P158="N",P158=FALSE,P158="no",P158=0),"no",TRUE,"yes")</f>
        <v>no</v>
      </c>
      <c r="S158" t="str">
        <f t="shared" si="14"/>
        <v>Not Specified</v>
      </c>
    </row>
    <row r="159" spans="1:19">
      <c r="A159" t="s">
        <v>406</v>
      </c>
      <c r="B159" t="s">
        <v>407</v>
      </c>
      <c r="C159" t="s">
        <v>104</v>
      </c>
      <c r="D159" t="str" cm="1">
        <f t="array" ref="D159">_xlfn.IFS(OR(LOWER(C159)="f",LOWER(C159)="female"),"Female",TRUE,"Male")</f>
        <v>Male</v>
      </c>
      <c r="E159">
        <v>56</v>
      </c>
      <c r="F159">
        <f t="shared" si="10"/>
        <v>56</v>
      </c>
      <c r="G159" t="s">
        <v>160</v>
      </c>
      <c r="H159" t="s">
        <v>161</v>
      </c>
      <c r="I159" t="s">
        <v>58</v>
      </c>
      <c r="K159" t="str">
        <f t="shared" si="11"/>
        <v>Not Specified</v>
      </c>
      <c r="L159">
        <v>100</v>
      </c>
      <c r="M159" t="str">
        <f t="shared" si="12"/>
        <v>100</v>
      </c>
      <c r="N159">
        <v>3.2</v>
      </c>
      <c r="O159" s="3">
        <f t="shared" si="13"/>
        <v>3.2</v>
      </c>
      <c r="P159">
        <v>0</v>
      </c>
      <c r="Q159" t="str" cm="1">
        <f t="array" ref="Q159">_xlfn.IFS(ISBLANK(P159),"Not Specified",OR(P159="N",P159=FALSE,P159="no",P159=0),"no",TRUE,"yes")</f>
        <v>no</v>
      </c>
      <c r="R159" s="5">
        <v>0.62</v>
      </c>
      <c r="S159">
        <f t="shared" si="14"/>
        <v>62</v>
      </c>
    </row>
    <row r="160" spans="1:19">
      <c r="A160" t="s">
        <v>408</v>
      </c>
      <c r="B160" t="s">
        <v>409</v>
      </c>
      <c r="C160" t="s">
        <v>34</v>
      </c>
      <c r="D160" t="str" cm="1">
        <f t="array" ref="D160">_xlfn.IFS(OR(LOWER(C160)="f",LOWER(C160)="female"),"Female",TRUE,"Male")</f>
        <v>Male</v>
      </c>
      <c r="E160">
        <v>42</v>
      </c>
      <c r="F160">
        <f t="shared" si="10"/>
        <v>42</v>
      </c>
      <c r="G160" t="s">
        <v>131</v>
      </c>
      <c r="H160" t="s">
        <v>132</v>
      </c>
      <c r="I160" t="s">
        <v>96</v>
      </c>
      <c r="J160">
        <v>2</v>
      </c>
      <c r="K160">
        <f t="shared" si="11"/>
        <v>2</v>
      </c>
      <c r="L160" t="s">
        <v>71</v>
      </c>
      <c r="M160" t="str">
        <f t="shared" si="12"/>
        <v>50</v>
      </c>
      <c r="N160">
        <v>1.9</v>
      </c>
      <c r="O160" s="3">
        <f t="shared" si="13"/>
        <v>1.9</v>
      </c>
      <c r="P160" t="b">
        <v>0</v>
      </c>
      <c r="Q160" t="str" cm="1">
        <f t="array" ref="Q160">_xlfn.IFS(ISBLANK(P160),"Not Specified",OR(P160="N",P160=FALSE,P160="no",P160=0),"no",TRUE,"yes")</f>
        <v>no</v>
      </c>
      <c r="R160" s="5">
        <v>0.95</v>
      </c>
      <c r="S160">
        <f t="shared" si="14"/>
        <v>95</v>
      </c>
    </row>
    <row r="161" spans="1:19">
      <c r="A161" t="s">
        <v>410</v>
      </c>
      <c r="B161" t="s">
        <v>411</v>
      </c>
      <c r="C161" t="s">
        <v>84</v>
      </c>
      <c r="D161" t="str" cm="1">
        <f t="array" ref="D161">_xlfn.IFS(OR(LOWER(C161)="f",LOWER(C161)="female"),"Female",TRUE,"Male")</f>
        <v>Female</v>
      </c>
      <c r="E161">
        <v>20</v>
      </c>
      <c r="F161">
        <f t="shared" si="10"/>
        <v>20</v>
      </c>
      <c r="G161" t="s">
        <v>197</v>
      </c>
      <c r="H161" t="s">
        <v>79</v>
      </c>
      <c r="I161" t="s">
        <v>37</v>
      </c>
      <c r="J161">
        <v>0</v>
      </c>
      <c r="K161">
        <f t="shared" si="11"/>
        <v>0</v>
      </c>
      <c r="L161">
        <v>40</v>
      </c>
      <c r="M161" t="str">
        <f t="shared" si="12"/>
        <v>40</v>
      </c>
      <c r="N161">
        <v>2.5</v>
      </c>
      <c r="O161" s="3">
        <f t="shared" si="13"/>
        <v>2.5</v>
      </c>
      <c r="P161">
        <v>0</v>
      </c>
      <c r="Q161" t="str" cm="1">
        <f t="array" ref="Q161">_xlfn.IFS(ISBLANK(P161),"Not Specified",OR(P161="N",P161=FALSE,P161="no",P161=0),"no",TRUE,"yes")</f>
        <v>no</v>
      </c>
      <c r="R161" s="5">
        <v>0.79</v>
      </c>
      <c r="S161">
        <f t="shared" si="14"/>
        <v>79</v>
      </c>
    </row>
    <row r="162" spans="1:19">
      <c r="A162" t="s">
        <v>412</v>
      </c>
      <c r="B162" t="s">
        <v>413</v>
      </c>
      <c r="C162" t="s">
        <v>46</v>
      </c>
      <c r="D162" t="str" cm="1">
        <f t="array" ref="D162">_xlfn.IFS(OR(LOWER(C162)="f",LOWER(C162)="female"),"Female",TRUE,"Male")</f>
        <v>Female</v>
      </c>
      <c r="E162">
        <v>47</v>
      </c>
      <c r="F162">
        <f t="shared" si="10"/>
        <v>47</v>
      </c>
      <c r="G162" t="s">
        <v>56</v>
      </c>
      <c r="H162" t="s">
        <v>57</v>
      </c>
      <c r="I162" t="s">
        <v>80</v>
      </c>
      <c r="J162">
        <v>12</v>
      </c>
      <c r="K162">
        <f t="shared" si="11"/>
        <v>12</v>
      </c>
      <c r="L162">
        <v>40</v>
      </c>
      <c r="M162" t="str">
        <f t="shared" si="12"/>
        <v>40</v>
      </c>
      <c r="N162">
        <v>4.5</v>
      </c>
      <c r="O162" s="3">
        <f t="shared" si="13"/>
        <v>4.5</v>
      </c>
      <c r="P162" t="s">
        <v>166</v>
      </c>
      <c r="Q162" t="str" cm="1">
        <f t="array" ref="Q162">_xlfn.IFS(ISBLANK(P162),"Not Specified",OR(P162="N",P162=FALSE,P162="no",P162=0),"no",TRUE,"yes")</f>
        <v>no</v>
      </c>
      <c r="R162" s="5">
        <v>0.62</v>
      </c>
      <c r="S162">
        <f t="shared" si="14"/>
        <v>62</v>
      </c>
    </row>
    <row r="163" spans="1:19">
      <c r="A163" t="s">
        <v>414</v>
      </c>
      <c r="B163" t="s">
        <v>415</v>
      </c>
      <c r="C163" t="s">
        <v>55</v>
      </c>
      <c r="D163" t="str" cm="1">
        <f t="array" ref="D163">_xlfn.IFS(OR(LOWER(C163)="f",LOWER(C163)="female"),"Female",TRUE,"Male")</f>
        <v>Male</v>
      </c>
      <c r="F163" t="str">
        <f t="shared" si="10"/>
        <v>Not Specified</v>
      </c>
      <c r="G163" t="s">
        <v>78</v>
      </c>
      <c r="H163" t="s">
        <v>79</v>
      </c>
      <c r="I163" t="s">
        <v>58</v>
      </c>
      <c r="J163">
        <v>12</v>
      </c>
      <c r="K163">
        <f t="shared" si="11"/>
        <v>12</v>
      </c>
      <c r="L163" t="s">
        <v>52</v>
      </c>
      <c r="M163" t="str">
        <f t="shared" si="12"/>
        <v>30</v>
      </c>
      <c r="N163">
        <v>4.1</v>
      </c>
      <c r="O163" s="3">
        <f t="shared" si="13"/>
        <v>4.1</v>
      </c>
      <c r="P163" t="s">
        <v>166</v>
      </c>
      <c r="Q163" t="str" cm="1">
        <f t="array" ref="Q163">_xlfn.IFS(ISBLANK(P163),"Not Specified",OR(P163="N",P163=FALSE,P163="no",P163=0),"no",TRUE,"yes")</f>
        <v>no</v>
      </c>
      <c r="R163" s="5">
        <v>0.68</v>
      </c>
      <c r="S163">
        <f t="shared" si="14"/>
        <v>68</v>
      </c>
    </row>
    <row r="164" spans="1:19">
      <c r="A164" t="s">
        <v>416</v>
      </c>
      <c r="B164" t="s">
        <v>417</v>
      </c>
      <c r="C164" t="s">
        <v>99</v>
      </c>
      <c r="D164" t="str" cm="1">
        <f t="array" ref="D164">_xlfn.IFS(OR(LOWER(C164)="f",LOWER(C164)="female"),"Female",TRUE,"Male")</f>
        <v>Male</v>
      </c>
      <c r="E164">
        <v>56</v>
      </c>
      <c r="F164">
        <f t="shared" si="10"/>
        <v>56</v>
      </c>
      <c r="G164" t="s">
        <v>56</v>
      </c>
      <c r="H164" t="s">
        <v>57</v>
      </c>
      <c r="I164" t="s">
        <v>96</v>
      </c>
      <c r="J164">
        <v>15</v>
      </c>
      <c r="K164">
        <f t="shared" si="11"/>
        <v>15</v>
      </c>
      <c r="L164" t="s">
        <v>59</v>
      </c>
      <c r="M164" t="str">
        <f t="shared" si="12"/>
        <v> 75</v>
      </c>
      <c r="N164">
        <v>0</v>
      </c>
      <c r="O164" s="3" t="str">
        <f t="shared" si="13"/>
        <v>Not Specified</v>
      </c>
      <c r="P164" t="s">
        <v>166</v>
      </c>
      <c r="Q164" t="str" cm="1">
        <f t="array" ref="Q164">_xlfn.IFS(ISBLANK(P164),"Not Specified",OR(P164="N",P164=FALSE,P164="no",P164=0),"no",TRUE,"yes")</f>
        <v>no</v>
      </c>
      <c r="S164" t="str">
        <f t="shared" si="14"/>
        <v>Not Specified</v>
      </c>
    </row>
    <row r="165" spans="1:19">
      <c r="A165" t="s">
        <v>418</v>
      </c>
      <c r="B165" t="s">
        <v>419</v>
      </c>
      <c r="C165" t="s">
        <v>104</v>
      </c>
      <c r="D165" t="str" cm="1">
        <f t="array" ref="D165">_xlfn.IFS(OR(LOWER(C165)="f",LOWER(C165)="female"),"Female",TRUE,"Male")</f>
        <v>Male</v>
      </c>
      <c r="E165">
        <v>59</v>
      </c>
      <c r="F165">
        <f t="shared" si="10"/>
        <v>59</v>
      </c>
      <c r="G165" t="s">
        <v>74</v>
      </c>
      <c r="H165" t="s">
        <v>29</v>
      </c>
      <c r="I165" t="s">
        <v>96</v>
      </c>
      <c r="J165">
        <v>29</v>
      </c>
      <c r="K165">
        <f t="shared" si="11"/>
        <v>29</v>
      </c>
      <c r="L165" t="s">
        <v>59</v>
      </c>
      <c r="M165" t="str">
        <f t="shared" si="12"/>
        <v> 75</v>
      </c>
      <c r="O165" s="3" t="str">
        <f t="shared" si="13"/>
        <v>Not Specified</v>
      </c>
      <c r="P165">
        <v>0</v>
      </c>
      <c r="Q165" t="str" cm="1">
        <f t="array" ref="Q165">_xlfn.IFS(ISBLANK(P165),"Not Specified",OR(P165="N",P165=FALSE,P165="no",P165=0),"no",TRUE,"yes")</f>
        <v>no</v>
      </c>
      <c r="R165" s="5">
        <v>0.8</v>
      </c>
      <c r="S165">
        <f t="shared" si="14"/>
        <v>80</v>
      </c>
    </row>
    <row r="166" spans="1:19">
      <c r="A166" t="s">
        <v>420</v>
      </c>
      <c r="B166" t="s">
        <v>421</v>
      </c>
      <c r="C166" t="s">
        <v>68</v>
      </c>
      <c r="D166" t="str" cm="1">
        <f t="array" ref="D166">_xlfn.IFS(OR(LOWER(C166)="f",LOWER(C166)="female"),"Female",TRUE,"Male")</f>
        <v>Male</v>
      </c>
      <c r="E166">
        <v>56</v>
      </c>
      <c r="F166">
        <f t="shared" si="10"/>
        <v>56</v>
      </c>
      <c r="G166" t="s">
        <v>92</v>
      </c>
      <c r="H166" t="s">
        <v>93</v>
      </c>
      <c r="I166" t="s">
        <v>85</v>
      </c>
      <c r="J166">
        <v>15</v>
      </c>
      <c r="K166">
        <f t="shared" si="11"/>
        <v>15</v>
      </c>
      <c r="L166">
        <v>40</v>
      </c>
      <c r="M166" t="str">
        <f t="shared" si="12"/>
        <v>40</v>
      </c>
      <c r="N166">
        <v>3.7</v>
      </c>
      <c r="O166" s="3">
        <f t="shared" si="13"/>
        <v>3.7</v>
      </c>
      <c r="Q166" t="str" cm="1">
        <f t="array" ref="Q166">_xlfn.IFS(ISBLANK(P166),"Not Specified",OR(P166="N",P166=FALSE,P166="no",P166=0),"no",TRUE,"yes")</f>
        <v>Not Specified</v>
      </c>
      <c r="R166" s="5">
        <v>0.92</v>
      </c>
      <c r="S166">
        <f t="shared" si="14"/>
        <v>92</v>
      </c>
    </row>
    <row r="167" spans="1:19">
      <c r="A167" t="s">
        <v>422</v>
      </c>
      <c r="B167" t="s">
        <v>423</v>
      </c>
      <c r="C167" t="s">
        <v>46</v>
      </c>
      <c r="D167" t="str" cm="1">
        <f t="array" ref="D167">_xlfn.IFS(OR(LOWER(C167)="f",LOWER(C167)="female"),"Female",TRUE,"Male")</f>
        <v>Female</v>
      </c>
      <c r="E167">
        <v>31</v>
      </c>
      <c r="F167">
        <f t="shared" si="10"/>
        <v>31</v>
      </c>
      <c r="G167" t="s">
        <v>160</v>
      </c>
      <c r="H167" t="s">
        <v>161</v>
      </c>
      <c r="I167" t="s">
        <v>42</v>
      </c>
      <c r="K167" t="str">
        <f t="shared" si="11"/>
        <v>Not Specified</v>
      </c>
      <c r="L167" t="s">
        <v>59</v>
      </c>
      <c r="M167" t="str">
        <f t="shared" si="12"/>
        <v> 75</v>
      </c>
      <c r="N167">
        <v>1.3</v>
      </c>
      <c r="O167" s="3">
        <f t="shared" si="13"/>
        <v>1.3</v>
      </c>
      <c r="P167">
        <v>1</v>
      </c>
      <c r="Q167" t="str" cm="1">
        <f t="array" ref="Q167">_xlfn.IFS(ISBLANK(P167),"Not Specified",OR(P167="N",P167=FALSE,P167="no",P167=0),"no",TRUE,"yes")</f>
        <v>yes</v>
      </c>
      <c r="R167" s="5">
        <v>0.65</v>
      </c>
      <c r="S167">
        <f t="shared" si="14"/>
        <v>65</v>
      </c>
    </row>
    <row r="168" spans="1:19">
      <c r="A168" t="s">
        <v>424</v>
      </c>
      <c r="B168" t="s">
        <v>425</v>
      </c>
      <c r="C168" t="s">
        <v>55</v>
      </c>
      <c r="D168" t="str" cm="1">
        <f t="array" ref="D168">_xlfn.IFS(OR(LOWER(C168)="f",LOWER(C168)="female"),"Female",TRUE,"Male")</f>
        <v>Male</v>
      </c>
      <c r="E168">
        <v>60</v>
      </c>
      <c r="F168">
        <f t="shared" si="10"/>
        <v>60</v>
      </c>
      <c r="G168" t="s">
        <v>119</v>
      </c>
      <c r="H168" t="s">
        <v>120</v>
      </c>
      <c r="I168" t="s">
        <v>30</v>
      </c>
      <c r="J168">
        <v>33</v>
      </c>
      <c r="K168">
        <f t="shared" si="11"/>
        <v>33</v>
      </c>
      <c r="L168">
        <v>40</v>
      </c>
      <c r="M168" t="str">
        <f t="shared" si="12"/>
        <v>40</v>
      </c>
      <c r="N168">
        <v>3.6</v>
      </c>
      <c r="O168" s="3">
        <f t="shared" si="13"/>
        <v>3.6</v>
      </c>
      <c r="P168">
        <v>1</v>
      </c>
      <c r="Q168" t="str" cm="1">
        <f t="array" ref="Q168">_xlfn.IFS(ISBLANK(P168),"Not Specified",OR(P168="N",P168=FALSE,P168="no",P168=0),"no",TRUE,"yes")</f>
        <v>yes</v>
      </c>
      <c r="R168" s="5">
        <v>0.87</v>
      </c>
      <c r="S168">
        <f t="shared" si="14"/>
        <v>87</v>
      </c>
    </row>
    <row r="169" spans="1:19">
      <c r="A169" t="s">
        <v>426</v>
      </c>
      <c r="B169" t="s">
        <v>427</v>
      </c>
      <c r="C169" t="s">
        <v>27</v>
      </c>
      <c r="D169" t="str" cm="1">
        <f t="array" ref="D169">_xlfn.IFS(OR(LOWER(C169)="f",LOWER(C169)="female"),"Female",TRUE,"Male")</f>
        <v>Female</v>
      </c>
      <c r="E169">
        <v>31</v>
      </c>
      <c r="F169">
        <f t="shared" si="10"/>
        <v>31</v>
      </c>
      <c r="G169" t="s">
        <v>135</v>
      </c>
      <c r="H169" t="s">
        <v>29</v>
      </c>
      <c r="I169" t="s">
        <v>42</v>
      </c>
      <c r="J169">
        <v>10</v>
      </c>
      <c r="K169">
        <f t="shared" si="11"/>
        <v>10</v>
      </c>
      <c r="L169">
        <v>75</v>
      </c>
      <c r="M169" t="str">
        <f t="shared" si="12"/>
        <v>75</v>
      </c>
      <c r="N169">
        <v>0</v>
      </c>
      <c r="O169" s="3" t="str">
        <f t="shared" si="13"/>
        <v>Not Specified</v>
      </c>
      <c r="P169" t="s">
        <v>166</v>
      </c>
      <c r="Q169" t="str" cm="1">
        <f t="array" ref="Q169">_xlfn.IFS(ISBLANK(P169),"Not Specified",OR(P169="N",P169=FALSE,P169="no",P169=0),"no",TRUE,"yes")</f>
        <v>no</v>
      </c>
      <c r="R169" s="5">
        <v>0.7</v>
      </c>
      <c r="S169">
        <f t="shared" si="14"/>
        <v>70</v>
      </c>
    </row>
    <row r="170" spans="1:19">
      <c r="A170" t="s">
        <v>428</v>
      </c>
      <c r="B170" t="s">
        <v>429</v>
      </c>
      <c r="C170" t="s">
        <v>68</v>
      </c>
      <c r="D170" t="str" cm="1">
        <f t="array" ref="D170">_xlfn.IFS(OR(LOWER(C170)="f",LOWER(C170)="female"),"Female",TRUE,"Male")</f>
        <v>Male</v>
      </c>
      <c r="E170">
        <v>60</v>
      </c>
      <c r="F170">
        <f t="shared" si="10"/>
        <v>60</v>
      </c>
      <c r="G170" t="s">
        <v>78</v>
      </c>
      <c r="H170" t="s">
        <v>79</v>
      </c>
      <c r="I170" t="s">
        <v>85</v>
      </c>
      <c r="J170">
        <v>20</v>
      </c>
      <c r="K170">
        <f t="shared" si="11"/>
        <v>20</v>
      </c>
      <c r="L170">
        <v>40</v>
      </c>
      <c r="M170" t="str">
        <f t="shared" si="12"/>
        <v>40</v>
      </c>
      <c r="N170">
        <v>1.4</v>
      </c>
      <c r="O170" s="3">
        <f t="shared" si="13"/>
        <v>1.4</v>
      </c>
      <c r="P170" t="s">
        <v>166</v>
      </c>
      <c r="Q170" t="str" cm="1">
        <f t="array" ref="Q170">_xlfn.IFS(ISBLANK(P170),"Not Specified",OR(P170="N",P170=FALSE,P170="no",P170=0),"no",TRUE,"yes")</f>
        <v>no</v>
      </c>
      <c r="R170">
        <v>87</v>
      </c>
      <c r="S170">
        <f t="shared" si="14"/>
        <v>87</v>
      </c>
    </row>
    <row r="171" spans="1:19">
      <c r="A171" t="s">
        <v>430</v>
      </c>
      <c r="B171" t="s">
        <v>431</v>
      </c>
      <c r="C171" t="s">
        <v>68</v>
      </c>
      <c r="D171" t="str" cm="1">
        <f t="array" ref="D171">_xlfn.IFS(OR(LOWER(C171)="f",LOWER(C171)="female"),"Female",TRUE,"Male")</f>
        <v>Male</v>
      </c>
      <c r="E171">
        <v>46</v>
      </c>
      <c r="F171">
        <f t="shared" si="10"/>
        <v>46</v>
      </c>
      <c r="G171" t="s">
        <v>142</v>
      </c>
      <c r="H171" t="s">
        <v>143</v>
      </c>
      <c r="I171" t="s">
        <v>96</v>
      </c>
      <c r="J171">
        <v>23</v>
      </c>
      <c r="K171">
        <f t="shared" si="11"/>
        <v>23</v>
      </c>
      <c r="L171">
        <v>20</v>
      </c>
      <c r="M171" t="str">
        <f t="shared" si="12"/>
        <v>20</v>
      </c>
      <c r="N171">
        <v>2.9</v>
      </c>
      <c r="O171" s="3">
        <f t="shared" si="13"/>
        <v>2.9</v>
      </c>
      <c r="P171" t="s">
        <v>38</v>
      </c>
      <c r="Q171" t="str" cm="1">
        <f t="array" ref="Q171">_xlfn.IFS(ISBLANK(P171),"Not Specified",OR(P171="N",P171=FALSE,P171="no",P171=0),"no",TRUE,"yes")</f>
        <v>no</v>
      </c>
      <c r="R171" s="5">
        <v>0.72</v>
      </c>
      <c r="S171">
        <f t="shared" si="14"/>
        <v>72</v>
      </c>
    </row>
    <row r="172" spans="1:19">
      <c r="A172" t="s">
        <v>432</v>
      </c>
      <c r="B172" t="s">
        <v>433</v>
      </c>
      <c r="C172" t="s">
        <v>41</v>
      </c>
      <c r="D172" t="str" cm="1">
        <f t="array" ref="D172">_xlfn.IFS(OR(LOWER(C172)="f",LOWER(C172)="female"),"Female",TRUE,"Male")</f>
        <v>Female</v>
      </c>
      <c r="F172" t="str">
        <f t="shared" si="10"/>
        <v>Not Specified</v>
      </c>
      <c r="G172" t="s">
        <v>49</v>
      </c>
      <c r="H172" t="s">
        <v>50</v>
      </c>
      <c r="I172" t="s">
        <v>24</v>
      </c>
      <c r="K172" t="str">
        <f t="shared" si="11"/>
        <v>Not Specified</v>
      </c>
      <c r="L172">
        <v>40</v>
      </c>
      <c r="M172" t="str">
        <f t="shared" si="12"/>
        <v>40</v>
      </c>
      <c r="N172">
        <v>2.8</v>
      </c>
      <c r="O172" s="3">
        <f t="shared" si="13"/>
        <v>2.8</v>
      </c>
      <c r="P172" t="s">
        <v>38</v>
      </c>
      <c r="Q172" t="str" cm="1">
        <f t="array" ref="Q172">_xlfn.IFS(ISBLANK(P172),"Not Specified",OR(P172="N",P172=FALSE,P172="no",P172=0),"no",TRUE,"yes")</f>
        <v>no</v>
      </c>
      <c r="R172" s="5">
        <v>0.8</v>
      </c>
      <c r="S172">
        <f t="shared" si="14"/>
        <v>80</v>
      </c>
    </row>
    <row r="173" spans="1:19">
      <c r="A173" t="s">
        <v>434</v>
      </c>
      <c r="B173" t="s">
        <v>435</v>
      </c>
      <c r="C173" t="s">
        <v>104</v>
      </c>
      <c r="D173" t="str" cm="1">
        <f t="array" ref="D173">_xlfn.IFS(OR(LOWER(C173)="f",LOWER(C173)="female"),"Female",TRUE,"Male")</f>
        <v>Male</v>
      </c>
      <c r="E173">
        <v>34</v>
      </c>
      <c r="F173">
        <f t="shared" si="10"/>
        <v>34</v>
      </c>
      <c r="G173" t="s">
        <v>92</v>
      </c>
      <c r="H173" t="s">
        <v>93</v>
      </c>
      <c r="I173" t="s">
        <v>80</v>
      </c>
      <c r="J173">
        <v>0</v>
      </c>
      <c r="K173">
        <f t="shared" si="11"/>
        <v>0</v>
      </c>
      <c r="L173">
        <v>20</v>
      </c>
      <c r="M173" t="str">
        <f t="shared" si="12"/>
        <v>20</v>
      </c>
      <c r="N173">
        <v>1.7</v>
      </c>
      <c r="O173" s="3">
        <f t="shared" si="13"/>
        <v>1.7</v>
      </c>
      <c r="P173">
        <v>0</v>
      </c>
      <c r="Q173" t="str" cm="1">
        <f t="array" ref="Q173">_xlfn.IFS(ISBLANK(P173),"Not Specified",OR(P173="N",P173=FALSE,P173="no",P173=0),"no",TRUE,"yes")</f>
        <v>no</v>
      </c>
      <c r="R173" s="5">
        <v>0.66</v>
      </c>
      <c r="S173">
        <f t="shared" si="14"/>
        <v>66</v>
      </c>
    </row>
    <row r="174" spans="1:19">
      <c r="A174" t="s">
        <v>436</v>
      </c>
      <c r="B174" t="s">
        <v>437</v>
      </c>
      <c r="C174" t="s">
        <v>21</v>
      </c>
      <c r="D174" t="str" cm="1">
        <f t="array" ref="D174">_xlfn.IFS(OR(LOWER(C174)="f",LOWER(C174)="female"),"Female",TRUE,"Male")</f>
        <v>Female</v>
      </c>
      <c r="E174">
        <v>42</v>
      </c>
      <c r="F174">
        <f t="shared" si="10"/>
        <v>42</v>
      </c>
      <c r="G174" t="s">
        <v>49</v>
      </c>
      <c r="H174" t="s">
        <v>50</v>
      </c>
      <c r="I174" t="s">
        <v>37</v>
      </c>
      <c r="J174">
        <v>7</v>
      </c>
      <c r="K174">
        <f t="shared" si="11"/>
        <v>7</v>
      </c>
      <c r="L174" t="s">
        <v>62</v>
      </c>
      <c r="M174" t="str">
        <f t="shared" si="12"/>
        <v> 40</v>
      </c>
      <c r="N174">
        <v>0</v>
      </c>
      <c r="O174" s="3" t="str">
        <f t="shared" si="13"/>
        <v>Not Specified</v>
      </c>
      <c r="P174">
        <v>1</v>
      </c>
      <c r="Q174" t="str" cm="1">
        <f t="array" ref="Q174">_xlfn.IFS(ISBLANK(P174),"Not Specified",OR(P174="N",P174=FALSE,P174="no",P174=0),"no",TRUE,"yes")</f>
        <v>yes</v>
      </c>
      <c r="S174" t="str">
        <f t="shared" si="14"/>
        <v>Not Specified</v>
      </c>
    </row>
    <row r="175" spans="1:19">
      <c r="A175" t="s">
        <v>438</v>
      </c>
      <c r="B175" t="s">
        <v>439</v>
      </c>
      <c r="C175" t="s">
        <v>99</v>
      </c>
      <c r="D175" t="str" cm="1">
        <f t="array" ref="D175">_xlfn.IFS(OR(LOWER(C175)="f",LOWER(C175)="female"),"Female",TRUE,"Male")</f>
        <v>Male</v>
      </c>
      <c r="E175">
        <v>31</v>
      </c>
      <c r="F175">
        <f t="shared" si="10"/>
        <v>31</v>
      </c>
      <c r="G175" t="s">
        <v>74</v>
      </c>
      <c r="H175" t="s">
        <v>29</v>
      </c>
      <c r="I175" t="s">
        <v>58</v>
      </c>
      <c r="J175">
        <v>4</v>
      </c>
      <c r="K175">
        <f t="shared" si="11"/>
        <v>4</v>
      </c>
      <c r="L175" t="s">
        <v>59</v>
      </c>
      <c r="M175" t="str">
        <f t="shared" si="12"/>
        <v> 75</v>
      </c>
      <c r="N175">
        <v>1.1</v>
      </c>
      <c r="O175" s="3">
        <f t="shared" si="13"/>
        <v>1.1</v>
      </c>
      <c r="P175" t="b">
        <v>1</v>
      </c>
      <c r="Q175" t="str" cm="1">
        <f t="array" ref="Q175">_xlfn.IFS(ISBLANK(P175),"Not Specified",OR(P175="N",P175=FALSE,P175="no",P175=0),"no",TRUE,"yes")</f>
        <v>yes</v>
      </c>
      <c r="R175" s="5">
        <v>0.64</v>
      </c>
      <c r="S175">
        <f t="shared" si="14"/>
        <v>64</v>
      </c>
    </row>
    <row r="176" spans="1:19">
      <c r="A176" t="s">
        <v>440</v>
      </c>
      <c r="B176" t="s">
        <v>441</v>
      </c>
      <c r="C176" t="s">
        <v>34</v>
      </c>
      <c r="D176" t="str" cm="1">
        <f t="array" ref="D176">_xlfn.IFS(OR(LOWER(C176)="f",LOWER(C176)="female"),"Female",TRUE,"Male")</f>
        <v>Male</v>
      </c>
      <c r="E176">
        <v>29</v>
      </c>
      <c r="F176">
        <f t="shared" si="10"/>
        <v>29</v>
      </c>
      <c r="G176" t="s">
        <v>114</v>
      </c>
      <c r="H176" t="s">
        <v>115</v>
      </c>
      <c r="I176" t="s">
        <v>80</v>
      </c>
      <c r="J176">
        <v>9</v>
      </c>
      <c r="K176">
        <f t="shared" si="11"/>
        <v>9</v>
      </c>
      <c r="L176">
        <v>20</v>
      </c>
      <c r="M176" t="str">
        <f t="shared" si="12"/>
        <v>20</v>
      </c>
      <c r="O176" s="3" t="str">
        <f t="shared" si="13"/>
        <v>Not Specified</v>
      </c>
      <c r="Q176" t="str" cm="1">
        <f t="array" ref="Q176">_xlfn.IFS(ISBLANK(P176),"Not Specified",OR(P176="N",P176=FALSE,P176="no",P176=0),"no",TRUE,"yes")</f>
        <v>Not Specified</v>
      </c>
      <c r="R176" s="5">
        <v>0.68</v>
      </c>
      <c r="S176">
        <f t="shared" si="14"/>
        <v>68</v>
      </c>
    </row>
    <row r="177" spans="1:19">
      <c r="A177" t="s">
        <v>442</v>
      </c>
      <c r="B177" t="s">
        <v>443</v>
      </c>
      <c r="C177" t="s">
        <v>46</v>
      </c>
      <c r="D177" t="str" cm="1">
        <f t="array" ref="D177">_xlfn.IFS(OR(LOWER(C177)="f",LOWER(C177)="female"),"Female",TRUE,"Male")</f>
        <v>Female</v>
      </c>
      <c r="E177">
        <v>57</v>
      </c>
      <c r="F177">
        <f t="shared" si="10"/>
        <v>57</v>
      </c>
      <c r="G177" t="s">
        <v>28</v>
      </c>
      <c r="H177" t="s">
        <v>29</v>
      </c>
      <c r="I177" t="s">
        <v>37</v>
      </c>
      <c r="J177">
        <v>17</v>
      </c>
      <c r="K177">
        <f t="shared" si="11"/>
        <v>17</v>
      </c>
      <c r="L177">
        <v>20</v>
      </c>
      <c r="M177" t="str">
        <f t="shared" si="12"/>
        <v>20</v>
      </c>
      <c r="N177">
        <v>3.6</v>
      </c>
      <c r="O177" s="3">
        <f t="shared" si="13"/>
        <v>3.6</v>
      </c>
      <c r="P177">
        <v>0</v>
      </c>
      <c r="Q177" t="str" cm="1">
        <f t="array" ref="Q177">_xlfn.IFS(ISBLANK(P177),"Not Specified",OR(P177="N",P177=FALSE,P177="no",P177=0),"no",TRUE,"yes")</f>
        <v>no</v>
      </c>
      <c r="R177" s="5">
        <v>0.63</v>
      </c>
      <c r="S177">
        <f t="shared" si="14"/>
        <v>63</v>
      </c>
    </row>
    <row r="178" spans="1:19">
      <c r="A178" t="s">
        <v>444</v>
      </c>
      <c r="B178" t="s">
        <v>445</v>
      </c>
      <c r="C178" t="s">
        <v>68</v>
      </c>
      <c r="D178" t="str" cm="1">
        <f t="array" ref="D178">_xlfn.IFS(OR(LOWER(C178)="f",LOWER(C178)="female"),"Female",TRUE,"Male")</f>
        <v>Male</v>
      </c>
      <c r="E178">
        <v>47</v>
      </c>
      <c r="F178">
        <f t="shared" si="10"/>
        <v>47</v>
      </c>
      <c r="G178" t="s">
        <v>100</v>
      </c>
      <c r="H178" t="s">
        <v>101</v>
      </c>
      <c r="I178" t="s">
        <v>96</v>
      </c>
      <c r="J178">
        <v>8</v>
      </c>
      <c r="K178">
        <f t="shared" si="11"/>
        <v>8</v>
      </c>
      <c r="L178">
        <v>20</v>
      </c>
      <c r="M178" t="str">
        <f t="shared" si="12"/>
        <v>20</v>
      </c>
      <c r="N178">
        <v>4.5</v>
      </c>
      <c r="O178" s="3">
        <f t="shared" si="13"/>
        <v>4.5</v>
      </c>
      <c r="P178">
        <v>1</v>
      </c>
      <c r="Q178" t="str" cm="1">
        <f t="array" ref="Q178">_xlfn.IFS(ISBLANK(P178),"Not Specified",OR(P178="N",P178=FALSE,P178="no",P178=0),"no",TRUE,"yes")</f>
        <v>yes</v>
      </c>
      <c r="R178" s="5">
        <v>0.72</v>
      </c>
      <c r="S178">
        <f t="shared" si="14"/>
        <v>72</v>
      </c>
    </row>
    <row r="179" spans="1:19">
      <c r="A179" t="s">
        <v>446</v>
      </c>
      <c r="B179" t="s">
        <v>447</v>
      </c>
      <c r="C179" t="s">
        <v>68</v>
      </c>
      <c r="D179" t="str" cm="1">
        <f t="array" ref="D179">_xlfn.IFS(OR(LOWER(C179)="f",LOWER(C179)="female"),"Female",TRUE,"Male")</f>
        <v>Male</v>
      </c>
      <c r="E179">
        <v>47</v>
      </c>
      <c r="F179">
        <f t="shared" si="10"/>
        <v>47</v>
      </c>
      <c r="G179" t="s">
        <v>160</v>
      </c>
      <c r="H179" t="s">
        <v>161</v>
      </c>
      <c r="I179" t="s">
        <v>51</v>
      </c>
      <c r="J179">
        <v>14</v>
      </c>
      <c r="K179">
        <f t="shared" si="11"/>
        <v>14</v>
      </c>
      <c r="L179" t="s">
        <v>52</v>
      </c>
      <c r="M179" t="str">
        <f t="shared" si="12"/>
        <v>30</v>
      </c>
      <c r="N179">
        <v>0</v>
      </c>
      <c r="O179" s="3" t="str">
        <f t="shared" si="13"/>
        <v>Not Specified</v>
      </c>
      <c r="P179" t="b">
        <v>1</v>
      </c>
      <c r="Q179" t="str" cm="1">
        <f t="array" ref="Q179">_xlfn.IFS(ISBLANK(P179),"Not Specified",OR(P179="N",P179=FALSE,P179="no",P179=0),"no",TRUE,"yes")</f>
        <v>yes</v>
      </c>
      <c r="R179" s="5">
        <v>0.86</v>
      </c>
      <c r="S179">
        <f t="shared" si="14"/>
        <v>86</v>
      </c>
    </row>
    <row r="180" spans="1:19">
      <c r="A180" t="s">
        <v>448</v>
      </c>
      <c r="B180" t="s">
        <v>449</v>
      </c>
      <c r="C180" t="s">
        <v>27</v>
      </c>
      <c r="D180" t="str" cm="1">
        <f t="array" ref="D180">_xlfn.IFS(OR(LOWER(C180)="f",LOWER(C180)="female"),"Female",TRUE,"Male")</f>
        <v>Female</v>
      </c>
      <c r="E180">
        <v>45</v>
      </c>
      <c r="F180">
        <f t="shared" si="10"/>
        <v>45</v>
      </c>
      <c r="G180" t="s">
        <v>142</v>
      </c>
      <c r="H180" t="s">
        <v>143</v>
      </c>
      <c r="I180" t="s">
        <v>37</v>
      </c>
      <c r="J180">
        <v>21</v>
      </c>
      <c r="K180">
        <f t="shared" si="11"/>
        <v>21</v>
      </c>
      <c r="L180" t="s">
        <v>116</v>
      </c>
      <c r="M180" t="str">
        <f t="shared" si="12"/>
        <v> 30</v>
      </c>
      <c r="N180">
        <v>1.5</v>
      </c>
      <c r="O180" s="3">
        <f t="shared" si="13"/>
        <v>1.5</v>
      </c>
      <c r="P180">
        <v>1</v>
      </c>
      <c r="Q180" t="str" cm="1">
        <f t="array" ref="Q180">_xlfn.IFS(ISBLANK(P180),"Not Specified",OR(P180="N",P180=FALSE,P180="no",P180=0),"no",TRUE,"yes")</f>
        <v>yes</v>
      </c>
      <c r="R180" s="5">
        <v>0.73</v>
      </c>
      <c r="S180">
        <f t="shared" si="14"/>
        <v>73</v>
      </c>
    </row>
    <row r="181" spans="1:19">
      <c r="A181" t="s">
        <v>450</v>
      </c>
      <c r="B181" t="s">
        <v>451</v>
      </c>
      <c r="C181" t="s">
        <v>55</v>
      </c>
      <c r="D181" t="str" cm="1">
        <f t="array" ref="D181">_xlfn.IFS(OR(LOWER(C181)="f",LOWER(C181)="female"),"Female",TRUE,"Male")</f>
        <v>Male</v>
      </c>
      <c r="E181">
        <v>24</v>
      </c>
      <c r="F181">
        <f t="shared" si="10"/>
        <v>24</v>
      </c>
      <c r="G181" t="s">
        <v>69</v>
      </c>
      <c r="H181" t="s">
        <v>70</v>
      </c>
      <c r="I181" t="s">
        <v>121</v>
      </c>
      <c r="J181">
        <v>1</v>
      </c>
      <c r="K181">
        <f t="shared" si="11"/>
        <v>1</v>
      </c>
      <c r="L181" t="s">
        <v>52</v>
      </c>
      <c r="M181" t="str">
        <f t="shared" si="12"/>
        <v>30</v>
      </c>
      <c r="N181">
        <v>3.7</v>
      </c>
      <c r="O181" s="3">
        <f t="shared" si="13"/>
        <v>3.7</v>
      </c>
      <c r="P181" t="s">
        <v>166</v>
      </c>
      <c r="Q181" t="str" cm="1">
        <f t="array" ref="Q181">_xlfn.IFS(ISBLANK(P181),"Not Specified",OR(P181="N",P181=FALSE,P181="no",P181=0),"no",TRUE,"yes")</f>
        <v>no</v>
      </c>
      <c r="R181" s="5">
        <v>0.95</v>
      </c>
      <c r="S181">
        <f t="shared" si="14"/>
        <v>95</v>
      </c>
    </row>
    <row r="182" spans="1:19">
      <c r="A182" t="s">
        <v>452</v>
      </c>
      <c r="B182" t="s">
        <v>453</v>
      </c>
      <c r="C182" t="s">
        <v>27</v>
      </c>
      <c r="D182" t="str" cm="1">
        <f t="array" ref="D182">_xlfn.IFS(OR(LOWER(C182)="f",LOWER(C182)="female"),"Female",TRUE,"Male")</f>
        <v>Female</v>
      </c>
      <c r="E182">
        <v>31</v>
      </c>
      <c r="F182">
        <f t="shared" si="10"/>
        <v>31</v>
      </c>
      <c r="G182" t="s">
        <v>78</v>
      </c>
      <c r="H182" t="s">
        <v>79</v>
      </c>
      <c r="I182" t="s">
        <v>30</v>
      </c>
      <c r="J182">
        <v>12</v>
      </c>
      <c r="K182">
        <f t="shared" si="11"/>
        <v>12</v>
      </c>
      <c r="L182">
        <v>20</v>
      </c>
      <c r="M182" t="str">
        <f t="shared" si="12"/>
        <v>20</v>
      </c>
      <c r="N182">
        <v>2.3</v>
      </c>
      <c r="O182" s="3">
        <f t="shared" si="13"/>
        <v>2.3</v>
      </c>
      <c r="P182" t="b">
        <v>0</v>
      </c>
      <c r="Q182" t="str" cm="1">
        <f t="array" ref="Q182">_xlfn.IFS(ISBLANK(P182),"Not Specified",OR(P182="N",P182=FALSE,P182="no",P182=0),"no",TRUE,"yes")</f>
        <v>no</v>
      </c>
      <c r="R182" s="5">
        <v>0.9</v>
      </c>
      <c r="S182">
        <f t="shared" si="14"/>
        <v>90</v>
      </c>
    </row>
    <row r="183" spans="1:19">
      <c r="A183" t="s">
        <v>454</v>
      </c>
      <c r="B183" t="s">
        <v>455</v>
      </c>
      <c r="C183" t="s">
        <v>41</v>
      </c>
      <c r="D183" t="str" cm="1">
        <f t="array" ref="D183">_xlfn.IFS(OR(LOWER(C183)="f",LOWER(C183)="female"),"Female",TRUE,"Male")</f>
        <v>Female</v>
      </c>
      <c r="E183">
        <v>20</v>
      </c>
      <c r="F183">
        <f t="shared" si="10"/>
        <v>20</v>
      </c>
      <c r="G183" t="s">
        <v>186</v>
      </c>
      <c r="H183" t="s">
        <v>79</v>
      </c>
      <c r="I183" t="s">
        <v>37</v>
      </c>
      <c r="J183">
        <v>2</v>
      </c>
      <c r="K183">
        <f t="shared" si="11"/>
        <v>2</v>
      </c>
      <c r="L183" t="s">
        <v>128</v>
      </c>
      <c r="M183" t="str">
        <f t="shared" si="12"/>
        <v>20</v>
      </c>
      <c r="N183">
        <v>2.8</v>
      </c>
      <c r="O183" s="3">
        <f t="shared" si="13"/>
        <v>2.8</v>
      </c>
      <c r="P183">
        <v>0</v>
      </c>
      <c r="Q183" t="str" cm="1">
        <f t="array" ref="Q183">_xlfn.IFS(ISBLANK(P183),"Not Specified",OR(P183="N",P183=FALSE,P183="no",P183=0),"no",TRUE,"yes")</f>
        <v>no</v>
      </c>
      <c r="R183" s="5">
        <v>0.78</v>
      </c>
      <c r="S183">
        <f t="shared" si="14"/>
        <v>78</v>
      </c>
    </row>
    <row r="184" spans="1:19">
      <c r="A184" t="s">
        <v>456</v>
      </c>
      <c r="B184" t="s">
        <v>457</v>
      </c>
      <c r="C184" t="s">
        <v>68</v>
      </c>
      <c r="D184" t="str" cm="1">
        <f t="array" ref="D184">_xlfn.IFS(OR(LOWER(C184)="f",LOWER(C184)="female"),"Female",TRUE,"Male")</f>
        <v>Male</v>
      </c>
      <c r="E184">
        <v>38</v>
      </c>
      <c r="F184">
        <f t="shared" si="10"/>
        <v>38</v>
      </c>
      <c r="G184" t="s">
        <v>92</v>
      </c>
      <c r="H184" t="s">
        <v>93</v>
      </c>
      <c r="I184" t="s">
        <v>42</v>
      </c>
      <c r="J184">
        <v>3</v>
      </c>
      <c r="K184">
        <f t="shared" si="11"/>
        <v>3</v>
      </c>
      <c r="L184">
        <v>30</v>
      </c>
      <c r="M184" t="str">
        <f t="shared" si="12"/>
        <v>30</v>
      </c>
      <c r="N184">
        <v>3.5</v>
      </c>
      <c r="O184" s="3">
        <f t="shared" si="13"/>
        <v>3.5</v>
      </c>
      <c r="P184" t="s">
        <v>166</v>
      </c>
      <c r="Q184" t="str" cm="1">
        <f t="array" ref="Q184">_xlfn.IFS(ISBLANK(P184),"Not Specified",OR(P184="N",P184=FALSE,P184="no",P184=0),"no",TRUE,"yes")</f>
        <v>no</v>
      </c>
      <c r="R184" s="5">
        <v>0.97</v>
      </c>
      <c r="S184">
        <f t="shared" si="14"/>
        <v>97</v>
      </c>
    </row>
    <row r="185" spans="1:19">
      <c r="A185" t="s">
        <v>458</v>
      </c>
      <c r="B185" t="s">
        <v>459</v>
      </c>
      <c r="C185" t="s">
        <v>46</v>
      </c>
      <c r="D185" t="str" cm="1">
        <f t="array" ref="D185">_xlfn.IFS(OR(LOWER(C185)="f",LOWER(C185)="female"),"Female",TRUE,"Male")</f>
        <v>Female</v>
      </c>
      <c r="E185">
        <v>33</v>
      </c>
      <c r="F185">
        <f t="shared" si="10"/>
        <v>33</v>
      </c>
      <c r="G185" t="s">
        <v>35</v>
      </c>
      <c r="H185" t="s">
        <v>36</v>
      </c>
      <c r="I185" t="s">
        <v>80</v>
      </c>
      <c r="J185">
        <v>11</v>
      </c>
      <c r="K185">
        <f t="shared" si="11"/>
        <v>11</v>
      </c>
      <c r="M185" t="str">
        <f t="shared" si="12"/>
        <v>Not Specified</v>
      </c>
      <c r="N185">
        <v>0</v>
      </c>
      <c r="O185" s="3" t="str">
        <f t="shared" si="13"/>
        <v>Not Specified</v>
      </c>
      <c r="P185" t="s">
        <v>75</v>
      </c>
      <c r="Q185" t="str" cm="1">
        <f t="array" ref="Q185">_xlfn.IFS(ISBLANK(P185),"Not Specified",OR(P185="N",P185=FALSE,P185="no",P185=0),"no",TRUE,"yes")</f>
        <v>yes</v>
      </c>
      <c r="R185" s="5">
        <v>0.65</v>
      </c>
      <c r="S185">
        <f t="shared" si="14"/>
        <v>65</v>
      </c>
    </row>
    <row r="186" spans="1:19">
      <c r="A186" t="s">
        <v>460</v>
      </c>
      <c r="B186" t="s">
        <v>461</v>
      </c>
      <c r="C186" t="s">
        <v>41</v>
      </c>
      <c r="D186" t="str" cm="1">
        <f t="array" ref="D186">_xlfn.IFS(OR(LOWER(C186)="f",LOWER(C186)="female"),"Female",TRUE,"Male")</f>
        <v>Female</v>
      </c>
      <c r="E186">
        <v>31</v>
      </c>
      <c r="F186">
        <f t="shared" si="10"/>
        <v>31</v>
      </c>
      <c r="G186" t="s">
        <v>28</v>
      </c>
      <c r="H186" t="s">
        <v>29</v>
      </c>
      <c r="I186" t="s">
        <v>42</v>
      </c>
      <c r="J186">
        <v>4</v>
      </c>
      <c r="K186">
        <f t="shared" si="11"/>
        <v>4</v>
      </c>
      <c r="L186">
        <v>40</v>
      </c>
      <c r="M186" t="str">
        <f t="shared" si="12"/>
        <v>40</v>
      </c>
      <c r="N186">
        <v>3.2</v>
      </c>
      <c r="O186" s="3">
        <f t="shared" si="13"/>
        <v>3.2</v>
      </c>
      <c r="P186">
        <v>1</v>
      </c>
      <c r="Q186" t="str" cm="1">
        <f t="array" ref="Q186">_xlfn.IFS(ISBLANK(P186),"Not Specified",OR(P186="N",P186=FALSE,P186="no",P186=0),"no",TRUE,"yes")</f>
        <v>yes</v>
      </c>
      <c r="R186" s="5">
        <v>0.78</v>
      </c>
      <c r="S186">
        <f t="shared" si="14"/>
        <v>78</v>
      </c>
    </row>
    <row r="187" spans="1:19">
      <c r="A187" t="s">
        <v>462</v>
      </c>
      <c r="B187" t="s">
        <v>463</v>
      </c>
      <c r="C187" t="s">
        <v>55</v>
      </c>
      <c r="D187" t="str" cm="1">
        <f t="array" ref="D187">_xlfn.IFS(OR(LOWER(C187)="f",LOWER(C187)="female"),"Female",TRUE,"Male")</f>
        <v>Male</v>
      </c>
      <c r="E187">
        <v>41</v>
      </c>
      <c r="F187">
        <f t="shared" si="10"/>
        <v>41</v>
      </c>
      <c r="G187" t="s">
        <v>197</v>
      </c>
      <c r="H187" t="s">
        <v>79</v>
      </c>
      <c r="I187" t="s">
        <v>121</v>
      </c>
      <c r="J187">
        <v>21</v>
      </c>
      <c r="K187">
        <f t="shared" si="11"/>
        <v>21</v>
      </c>
      <c r="L187">
        <v>50</v>
      </c>
      <c r="M187" t="str">
        <f t="shared" si="12"/>
        <v>50</v>
      </c>
      <c r="N187">
        <v>3.3</v>
      </c>
      <c r="O187" s="3">
        <f t="shared" si="13"/>
        <v>3.3</v>
      </c>
      <c r="P187" t="s">
        <v>81</v>
      </c>
      <c r="Q187" t="str" cm="1">
        <f t="array" ref="Q187">_xlfn.IFS(ISBLANK(P187),"Not Specified",OR(P187="N",P187=FALSE,P187="no",P187=0),"no",TRUE,"yes")</f>
        <v>yes</v>
      </c>
      <c r="R187" s="5">
        <v>0.65</v>
      </c>
      <c r="S187">
        <f t="shared" si="14"/>
        <v>65</v>
      </c>
    </row>
    <row r="188" spans="1:19">
      <c r="A188" t="s">
        <v>464</v>
      </c>
      <c r="B188" t="s">
        <v>465</v>
      </c>
      <c r="C188" t="s">
        <v>68</v>
      </c>
      <c r="D188" t="str" cm="1">
        <f t="array" ref="D188">_xlfn.IFS(OR(LOWER(C188)="f",LOWER(C188)="female"),"Female",TRUE,"Male")</f>
        <v>Male</v>
      </c>
      <c r="E188">
        <v>54</v>
      </c>
      <c r="F188">
        <f t="shared" si="10"/>
        <v>54</v>
      </c>
      <c r="G188" t="s">
        <v>69</v>
      </c>
      <c r="H188" t="s">
        <v>70</v>
      </c>
      <c r="I188" t="s">
        <v>42</v>
      </c>
      <c r="J188">
        <v>0</v>
      </c>
      <c r="K188">
        <f t="shared" si="11"/>
        <v>0</v>
      </c>
      <c r="L188" t="s">
        <v>128</v>
      </c>
      <c r="M188" t="str">
        <f t="shared" si="12"/>
        <v>20</v>
      </c>
      <c r="N188">
        <v>4.9</v>
      </c>
      <c r="O188" s="3">
        <f t="shared" si="13"/>
        <v>4.9</v>
      </c>
      <c r="Q188" t="str" cm="1">
        <f t="array" ref="Q188">_xlfn.IFS(ISBLANK(P188),"Not Specified",OR(P188="N",P188=FALSE,P188="no",P188=0),"no",TRUE,"yes")</f>
        <v>Not Specified</v>
      </c>
      <c r="S188" t="str">
        <f t="shared" si="14"/>
        <v>Not Specified</v>
      </c>
    </row>
    <row r="189" spans="1:19">
      <c r="A189" t="s">
        <v>466</v>
      </c>
      <c r="B189" t="s">
        <v>467</v>
      </c>
      <c r="C189" t="s">
        <v>34</v>
      </c>
      <c r="D189" t="str" cm="1">
        <f t="array" ref="D189">_xlfn.IFS(OR(LOWER(C189)="f",LOWER(C189)="female"),"Female",TRUE,"Male")</f>
        <v>Male</v>
      </c>
      <c r="E189">
        <v>50</v>
      </c>
      <c r="F189">
        <f t="shared" si="10"/>
        <v>50</v>
      </c>
      <c r="G189" t="s">
        <v>186</v>
      </c>
      <c r="H189" t="s">
        <v>79</v>
      </c>
      <c r="I189" t="s">
        <v>58</v>
      </c>
      <c r="J189">
        <v>6</v>
      </c>
      <c r="K189">
        <f t="shared" si="11"/>
        <v>6</v>
      </c>
      <c r="L189">
        <v>30</v>
      </c>
      <c r="M189" t="str">
        <f t="shared" si="12"/>
        <v>30</v>
      </c>
      <c r="N189">
        <v>2.2</v>
      </c>
      <c r="O189" s="3">
        <f t="shared" si="13"/>
        <v>2.2</v>
      </c>
      <c r="P189">
        <v>1</v>
      </c>
      <c r="Q189" t="str" cm="1">
        <f t="array" ref="Q189">_xlfn.IFS(ISBLANK(P189),"Not Specified",OR(P189="N",P189=FALSE,P189="no",P189=0),"no",TRUE,"yes")</f>
        <v>yes</v>
      </c>
      <c r="R189" s="5">
        <v>0.95</v>
      </c>
      <c r="S189">
        <f t="shared" si="14"/>
        <v>95</v>
      </c>
    </row>
    <row r="190" spans="1:19">
      <c r="A190" t="s">
        <v>468</v>
      </c>
      <c r="B190" t="s">
        <v>469</v>
      </c>
      <c r="C190" t="s">
        <v>68</v>
      </c>
      <c r="D190" t="str" cm="1">
        <f t="array" ref="D190">_xlfn.IFS(OR(LOWER(C190)="f",LOWER(C190)="female"),"Female",TRUE,"Male")</f>
        <v>Male</v>
      </c>
      <c r="E190">
        <v>48</v>
      </c>
      <c r="F190">
        <f t="shared" si="10"/>
        <v>48</v>
      </c>
      <c r="G190" t="s">
        <v>114</v>
      </c>
      <c r="H190" t="s">
        <v>115</v>
      </c>
      <c r="I190" t="s">
        <v>121</v>
      </c>
      <c r="J190">
        <v>18</v>
      </c>
      <c r="K190">
        <f t="shared" si="11"/>
        <v>18</v>
      </c>
      <c r="L190" t="s">
        <v>62</v>
      </c>
      <c r="M190" t="str">
        <f t="shared" si="12"/>
        <v> 40</v>
      </c>
      <c r="O190" s="3" t="str">
        <f t="shared" si="13"/>
        <v>Not Specified</v>
      </c>
      <c r="P190">
        <v>1</v>
      </c>
      <c r="Q190" t="str" cm="1">
        <f t="array" ref="Q190">_xlfn.IFS(ISBLANK(P190),"Not Specified",OR(P190="N",P190=FALSE,P190="no",P190=0),"no",TRUE,"yes")</f>
        <v>yes</v>
      </c>
      <c r="R190" s="5">
        <v>0.88</v>
      </c>
      <c r="S190">
        <f t="shared" si="14"/>
        <v>88</v>
      </c>
    </row>
    <row r="191" spans="1:19">
      <c r="A191" t="s">
        <v>470</v>
      </c>
      <c r="B191" t="s">
        <v>471</v>
      </c>
      <c r="C191" t="s">
        <v>21</v>
      </c>
      <c r="D191" t="str" cm="1">
        <f t="array" ref="D191">_xlfn.IFS(OR(LOWER(C191)="f",LOWER(C191)="female"),"Female",TRUE,"Male")</f>
        <v>Female</v>
      </c>
      <c r="E191">
        <v>49</v>
      </c>
      <c r="F191">
        <f t="shared" si="10"/>
        <v>49</v>
      </c>
      <c r="G191" t="s">
        <v>186</v>
      </c>
      <c r="H191" t="s">
        <v>79</v>
      </c>
      <c r="I191" t="s">
        <v>37</v>
      </c>
      <c r="K191" t="str">
        <f t="shared" si="11"/>
        <v>Not Specified</v>
      </c>
      <c r="M191" t="str">
        <f t="shared" si="12"/>
        <v>Not Specified</v>
      </c>
      <c r="N191">
        <v>1.8</v>
      </c>
      <c r="O191" s="3">
        <f t="shared" si="13"/>
        <v>1.8</v>
      </c>
      <c r="P191">
        <v>0</v>
      </c>
      <c r="Q191" t="str" cm="1">
        <f t="array" ref="Q191">_xlfn.IFS(ISBLANK(P191),"Not Specified",OR(P191="N",P191=FALSE,P191="no",P191=0),"no",TRUE,"yes")</f>
        <v>no</v>
      </c>
      <c r="S191" t="str">
        <f t="shared" si="14"/>
        <v>Not Specified</v>
      </c>
    </row>
    <row r="192" spans="1:19">
      <c r="A192" t="s">
        <v>472</v>
      </c>
      <c r="B192" t="s">
        <v>473</v>
      </c>
      <c r="C192" t="s">
        <v>104</v>
      </c>
      <c r="D192" t="str" cm="1">
        <f t="array" ref="D192">_xlfn.IFS(OR(LOWER(C192)="f",LOWER(C192)="female"),"Female",TRUE,"Male")</f>
        <v>Male</v>
      </c>
      <c r="E192">
        <v>21</v>
      </c>
      <c r="F192">
        <f t="shared" si="10"/>
        <v>21</v>
      </c>
      <c r="G192" t="s">
        <v>119</v>
      </c>
      <c r="H192" t="s">
        <v>120</v>
      </c>
      <c r="I192" t="s">
        <v>37</v>
      </c>
      <c r="J192">
        <v>1</v>
      </c>
      <c r="K192">
        <f t="shared" si="11"/>
        <v>1</v>
      </c>
      <c r="L192">
        <v>75</v>
      </c>
      <c r="M192" t="str">
        <f t="shared" si="12"/>
        <v>75</v>
      </c>
      <c r="N192">
        <v>4.6</v>
      </c>
      <c r="O192" s="3">
        <f t="shared" si="13"/>
        <v>4.6</v>
      </c>
      <c r="P192">
        <v>0</v>
      </c>
      <c r="Q192" t="str" cm="1">
        <f t="array" ref="Q192">_xlfn.IFS(ISBLANK(P192),"Not Specified",OR(P192="N",P192=FALSE,P192="no",P192=0),"no",TRUE,"yes")</f>
        <v>no</v>
      </c>
      <c r="R192" s="5">
        <v>0.92</v>
      </c>
      <c r="S192">
        <f t="shared" si="14"/>
        <v>92</v>
      </c>
    </row>
    <row r="193" spans="1:19">
      <c r="A193" t="s">
        <v>474</v>
      </c>
      <c r="B193" t="s">
        <v>475</v>
      </c>
      <c r="C193" t="s">
        <v>99</v>
      </c>
      <c r="D193" t="str" cm="1">
        <f t="array" ref="D193">_xlfn.IFS(OR(LOWER(C193)="f",LOWER(C193)="female"),"Female",TRUE,"Male")</f>
        <v>Male</v>
      </c>
      <c r="E193">
        <v>58</v>
      </c>
      <c r="F193">
        <f t="shared" si="10"/>
        <v>58</v>
      </c>
      <c r="G193" t="s">
        <v>28</v>
      </c>
      <c r="H193" t="s">
        <v>29</v>
      </c>
      <c r="I193" t="s">
        <v>37</v>
      </c>
      <c r="J193">
        <v>20</v>
      </c>
      <c r="K193">
        <f t="shared" si="11"/>
        <v>20</v>
      </c>
      <c r="L193">
        <v>75</v>
      </c>
      <c r="M193" t="str">
        <f t="shared" si="12"/>
        <v>75</v>
      </c>
      <c r="N193">
        <v>2.8</v>
      </c>
      <c r="O193" s="3">
        <f t="shared" si="13"/>
        <v>2.8</v>
      </c>
      <c r="P193" t="s">
        <v>166</v>
      </c>
      <c r="Q193" t="str" cm="1">
        <f t="array" ref="Q193">_xlfn.IFS(ISBLANK(P193),"Not Specified",OR(P193="N",P193=FALSE,P193="no",P193=0),"no",TRUE,"yes")</f>
        <v>no</v>
      </c>
      <c r="R193" s="5">
        <v>0.75</v>
      </c>
      <c r="S193">
        <f t="shared" si="14"/>
        <v>75</v>
      </c>
    </row>
    <row r="194" spans="1:19">
      <c r="A194" t="s">
        <v>476</v>
      </c>
      <c r="B194" t="s">
        <v>270</v>
      </c>
      <c r="C194" t="s">
        <v>68</v>
      </c>
      <c r="D194" t="str" cm="1">
        <f t="array" ref="D194">_xlfn.IFS(OR(LOWER(C194)="f",LOWER(C194)="female"),"Female",TRUE,"Male")</f>
        <v>Male</v>
      </c>
      <c r="E194">
        <v>41</v>
      </c>
      <c r="F194">
        <f t="shared" si="10"/>
        <v>41</v>
      </c>
      <c r="G194" t="s">
        <v>22</v>
      </c>
      <c r="H194" t="s">
        <v>23</v>
      </c>
      <c r="I194" t="s">
        <v>96</v>
      </c>
      <c r="K194" t="str">
        <f t="shared" si="11"/>
        <v>Not Specified</v>
      </c>
      <c r="L194" t="s">
        <v>52</v>
      </c>
      <c r="M194" t="str">
        <f t="shared" si="12"/>
        <v>30</v>
      </c>
      <c r="N194">
        <v>1.4</v>
      </c>
      <c r="O194" s="3">
        <f t="shared" si="13"/>
        <v>1.4</v>
      </c>
      <c r="P194" t="b">
        <v>0</v>
      </c>
      <c r="Q194" t="str" cm="1">
        <f t="array" ref="Q194">_xlfn.IFS(ISBLANK(P194),"Not Specified",OR(P194="N",P194=FALSE,P194="no",P194=0),"no",TRUE,"yes")</f>
        <v>no</v>
      </c>
      <c r="R194" s="5">
        <v>0.74</v>
      </c>
      <c r="S194">
        <f t="shared" si="14"/>
        <v>74</v>
      </c>
    </row>
    <row r="195" spans="1:19">
      <c r="A195" t="s">
        <v>477</v>
      </c>
      <c r="B195" t="s">
        <v>478</v>
      </c>
      <c r="C195" t="s">
        <v>41</v>
      </c>
      <c r="D195" t="str" cm="1">
        <f t="array" ref="D195">_xlfn.IFS(OR(LOWER(C195)="f",LOWER(C195)="female"),"Female",TRUE,"Male")</f>
        <v>Female</v>
      </c>
      <c r="E195">
        <v>58</v>
      </c>
      <c r="F195">
        <f t="shared" ref="F195:F258" si="15">IF(ISNUMBER(E195),E195,"Not Specified")</f>
        <v>58</v>
      </c>
      <c r="G195" t="s">
        <v>131</v>
      </c>
      <c r="H195" t="s">
        <v>132</v>
      </c>
      <c r="I195" t="s">
        <v>24</v>
      </c>
      <c r="J195">
        <v>25</v>
      </c>
      <c r="K195">
        <f t="shared" ref="K195:K258" si="16">IF(ISNUMBER(J195),J195,"Not Specified")</f>
        <v>25</v>
      </c>
      <c r="L195" t="s">
        <v>52</v>
      </c>
      <c r="M195" t="str">
        <f t="shared" ref="M195:M258" si="17">IF(SUBSTITUTE(SUBSTITUTE(L195,"USD",""),"$","")="","Not Specified",SUBSTITUTE(SUBSTITUTE(L195,"USD",""),"$",""))</f>
        <v>30</v>
      </c>
      <c r="N195">
        <v>4.2</v>
      </c>
      <c r="O195" s="3">
        <f t="shared" ref="O195:O258" si="18">IF(OR(N195="",N195=0),"Not Specified",N195)</f>
        <v>4.2</v>
      </c>
      <c r="P195" t="s">
        <v>81</v>
      </c>
      <c r="Q195" t="str" cm="1">
        <f t="array" ref="Q195">_xlfn.IFS(ISBLANK(P195),"Not Specified",OR(P195="N",P195=FALSE,P195="no",P195=0),"no",TRUE,"yes")</f>
        <v>yes</v>
      </c>
      <c r="R195" s="5">
        <v>0.71</v>
      </c>
      <c r="S195">
        <f t="shared" ref="S195:S258" si="19">IF(ISBLANK(R195),"Not Specified",IF(R195&lt;=1,R195*100,R195))</f>
        <v>71</v>
      </c>
    </row>
    <row r="196" spans="1:19">
      <c r="A196" t="s">
        <v>479</v>
      </c>
      <c r="B196" t="s">
        <v>480</v>
      </c>
      <c r="C196" t="s">
        <v>46</v>
      </c>
      <c r="D196" t="str" cm="1">
        <f t="array" ref="D196">_xlfn.IFS(OR(LOWER(C196)="f",LOWER(C196)="female"),"Female",TRUE,"Male")</f>
        <v>Female</v>
      </c>
      <c r="E196">
        <v>50</v>
      </c>
      <c r="F196">
        <f t="shared" si="15"/>
        <v>50</v>
      </c>
      <c r="G196" t="s">
        <v>160</v>
      </c>
      <c r="H196" t="s">
        <v>161</v>
      </c>
      <c r="I196" t="s">
        <v>37</v>
      </c>
      <c r="J196">
        <v>20</v>
      </c>
      <c r="K196">
        <f t="shared" si="16"/>
        <v>20</v>
      </c>
      <c r="L196" t="s">
        <v>62</v>
      </c>
      <c r="M196" t="str">
        <f t="shared" si="17"/>
        <v> 40</v>
      </c>
      <c r="N196">
        <v>3.6</v>
      </c>
      <c r="O196" s="3">
        <f t="shared" si="18"/>
        <v>3.6</v>
      </c>
      <c r="P196">
        <v>1</v>
      </c>
      <c r="Q196" t="str" cm="1">
        <f t="array" ref="Q196">_xlfn.IFS(ISBLANK(P196),"Not Specified",OR(P196="N",P196=FALSE,P196="no",P196=0),"no",TRUE,"yes")</f>
        <v>yes</v>
      </c>
      <c r="R196" s="5">
        <v>0.89</v>
      </c>
      <c r="S196">
        <f t="shared" si="19"/>
        <v>89</v>
      </c>
    </row>
    <row r="197" spans="1:19">
      <c r="A197" t="s">
        <v>481</v>
      </c>
      <c r="B197" t="s">
        <v>482</v>
      </c>
      <c r="C197" t="s">
        <v>55</v>
      </c>
      <c r="D197" t="str" cm="1">
        <f t="array" ref="D197">_xlfn.IFS(OR(LOWER(C197)="f",LOWER(C197)="female"),"Female",TRUE,"Male")</f>
        <v>Male</v>
      </c>
      <c r="E197">
        <v>52</v>
      </c>
      <c r="F197">
        <f t="shared" si="15"/>
        <v>52</v>
      </c>
      <c r="G197" t="s">
        <v>56</v>
      </c>
      <c r="H197" t="s">
        <v>57</v>
      </c>
      <c r="I197" t="s">
        <v>42</v>
      </c>
      <c r="J197">
        <v>33</v>
      </c>
      <c r="K197">
        <f t="shared" si="16"/>
        <v>33</v>
      </c>
      <c r="L197" t="s">
        <v>236</v>
      </c>
      <c r="M197" t="str">
        <f t="shared" si="17"/>
        <v>100</v>
      </c>
      <c r="N197">
        <v>1.6</v>
      </c>
      <c r="O197" s="3">
        <f t="shared" si="18"/>
        <v>1.6</v>
      </c>
      <c r="Q197" t="str" cm="1">
        <f t="array" ref="Q197">_xlfn.IFS(ISBLANK(P197),"Not Specified",OR(P197="N",P197=FALSE,P197="no",P197=0),"no",TRUE,"yes")</f>
        <v>Not Specified</v>
      </c>
      <c r="R197" s="5">
        <v>0.66</v>
      </c>
      <c r="S197">
        <f t="shared" si="19"/>
        <v>66</v>
      </c>
    </row>
    <row r="198" spans="1:19">
      <c r="A198" t="s">
        <v>483</v>
      </c>
      <c r="B198" t="s">
        <v>484</v>
      </c>
      <c r="C198" t="s">
        <v>55</v>
      </c>
      <c r="D198" t="str" cm="1">
        <f t="array" ref="D198">_xlfn.IFS(OR(LOWER(C198)="f",LOWER(C198)="female"),"Female",TRUE,"Male")</f>
        <v>Male</v>
      </c>
      <c r="E198">
        <v>34</v>
      </c>
      <c r="F198">
        <f t="shared" si="15"/>
        <v>34</v>
      </c>
      <c r="G198" t="s">
        <v>49</v>
      </c>
      <c r="H198" t="s">
        <v>50</v>
      </c>
      <c r="I198" t="s">
        <v>58</v>
      </c>
      <c r="J198">
        <v>6</v>
      </c>
      <c r="K198">
        <f t="shared" si="16"/>
        <v>6</v>
      </c>
      <c r="L198" t="s">
        <v>236</v>
      </c>
      <c r="M198" t="str">
        <f t="shared" si="17"/>
        <v>100</v>
      </c>
      <c r="N198">
        <v>2</v>
      </c>
      <c r="O198" s="3">
        <f t="shared" si="18"/>
        <v>2</v>
      </c>
      <c r="P198" t="s">
        <v>166</v>
      </c>
      <c r="Q198" t="str" cm="1">
        <f t="array" ref="Q198">_xlfn.IFS(ISBLANK(P198),"Not Specified",OR(P198="N",P198=FALSE,P198="no",P198=0),"no",TRUE,"yes")</f>
        <v>no</v>
      </c>
      <c r="S198" t="str">
        <f t="shared" si="19"/>
        <v>Not Specified</v>
      </c>
    </row>
    <row r="199" spans="1:19">
      <c r="A199" t="s">
        <v>485</v>
      </c>
      <c r="B199" t="s">
        <v>486</v>
      </c>
      <c r="C199" t="s">
        <v>104</v>
      </c>
      <c r="D199" t="str" cm="1">
        <f t="array" ref="D199">_xlfn.IFS(OR(LOWER(C199)="f",LOWER(C199)="female"),"Female",TRUE,"Male")</f>
        <v>Male</v>
      </c>
      <c r="E199">
        <v>32</v>
      </c>
      <c r="F199">
        <f t="shared" si="15"/>
        <v>32</v>
      </c>
      <c r="G199" t="s">
        <v>142</v>
      </c>
      <c r="H199" t="s">
        <v>143</v>
      </c>
      <c r="I199" t="s">
        <v>121</v>
      </c>
      <c r="J199">
        <v>11</v>
      </c>
      <c r="K199">
        <f t="shared" si="16"/>
        <v>11</v>
      </c>
      <c r="L199">
        <v>40</v>
      </c>
      <c r="M199" t="str">
        <f t="shared" si="17"/>
        <v>40</v>
      </c>
      <c r="N199">
        <v>4.3</v>
      </c>
      <c r="O199" s="3">
        <f t="shared" si="18"/>
        <v>4.3</v>
      </c>
      <c r="P199" t="b">
        <v>1</v>
      </c>
      <c r="Q199" t="str" cm="1">
        <f t="array" ref="Q199">_xlfn.IFS(ISBLANK(P199),"Not Specified",OR(P199="N",P199=FALSE,P199="no",P199=0),"no",TRUE,"yes")</f>
        <v>yes</v>
      </c>
      <c r="R199" s="5">
        <v>0.86</v>
      </c>
      <c r="S199">
        <f t="shared" si="19"/>
        <v>86</v>
      </c>
    </row>
    <row r="200" spans="1:19">
      <c r="A200" t="s">
        <v>487</v>
      </c>
      <c r="B200" t="s">
        <v>488</v>
      </c>
      <c r="C200" t="s">
        <v>41</v>
      </c>
      <c r="D200" t="str" cm="1">
        <f t="array" ref="D200">_xlfn.IFS(OR(LOWER(C200)="f",LOWER(C200)="female"),"Female",TRUE,"Male")</f>
        <v>Female</v>
      </c>
      <c r="E200">
        <v>50</v>
      </c>
      <c r="F200">
        <f t="shared" si="15"/>
        <v>50</v>
      </c>
      <c r="G200" t="s">
        <v>100</v>
      </c>
      <c r="H200" t="s">
        <v>101</v>
      </c>
      <c r="I200" t="s">
        <v>37</v>
      </c>
      <c r="J200">
        <v>28</v>
      </c>
      <c r="K200">
        <f t="shared" si="16"/>
        <v>28</v>
      </c>
      <c r="L200" t="s">
        <v>236</v>
      </c>
      <c r="M200" t="str">
        <f t="shared" si="17"/>
        <v>100</v>
      </c>
      <c r="N200">
        <v>4.9</v>
      </c>
      <c r="O200" s="3">
        <f t="shared" si="18"/>
        <v>4.9</v>
      </c>
      <c r="P200" t="s">
        <v>81</v>
      </c>
      <c r="Q200" t="str" cm="1">
        <f t="array" ref="Q200">_xlfn.IFS(ISBLANK(P200),"Not Specified",OR(P200="N",P200=FALSE,P200="no",P200=0),"no",TRUE,"yes")</f>
        <v>yes</v>
      </c>
      <c r="R200" s="5">
        <v>0.86</v>
      </c>
      <c r="S200">
        <f t="shared" si="19"/>
        <v>86</v>
      </c>
    </row>
    <row r="201" spans="1:19">
      <c r="A201" t="s">
        <v>489</v>
      </c>
      <c r="B201" t="s">
        <v>490</v>
      </c>
      <c r="C201" t="s">
        <v>46</v>
      </c>
      <c r="D201" t="str" cm="1">
        <f t="array" ref="D201">_xlfn.IFS(OR(LOWER(C201)="f",LOWER(C201)="female"),"Female",TRUE,"Male")</f>
        <v>Female</v>
      </c>
      <c r="E201">
        <v>39</v>
      </c>
      <c r="F201">
        <f t="shared" si="15"/>
        <v>39</v>
      </c>
      <c r="G201" t="s">
        <v>78</v>
      </c>
      <c r="H201" t="s">
        <v>79</v>
      </c>
      <c r="I201" t="s">
        <v>58</v>
      </c>
      <c r="J201">
        <v>11</v>
      </c>
      <c r="K201">
        <f t="shared" si="16"/>
        <v>11</v>
      </c>
      <c r="L201">
        <v>100</v>
      </c>
      <c r="M201" t="str">
        <f t="shared" si="17"/>
        <v>100</v>
      </c>
      <c r="N201">
        <v>3.5</v>
      </c>
      <c r="O201" s="3">
        <f t="shared" si="18"/>
        <v>3.5</v>
      </c>
      <c r="P201" t="s">
        <v>81</v>
      </c>
      <c r="Q201" t="str" cm="1">
        <f t="array" ref="Q201">_xlfn.IFS(ISBLANK(P201),"Not Specified",OR(P201="N",P201=FALSE,P201="no",P201=0),"no",TRUE,"yes")</f>
        <v>yes</v>
      </c>
      <c r="R201" s="5">
        <v>0.82</v>
      </c>
      <c r="S201">
        <f t="shared" si="19"/>
        <v>82</v>
      </c>
    </row>
    <row r="202" spans="1:19">
      <c r="A202" t="s">
        <v>491</v>
      </c>
      <c r="B202" t="s">
        <v>492</v>
      </c>
      <c r="C202" t="s">
        <v>21</v>
      </c>
      <c r="D202" t="str" cm="1">
        <f t="array" ref="D202">_xlfn.IFS(OR(LOWER(C202)="f",LOWER(C202)="female"),"Female",TRUE,"Male")</f>
        <v>Female</v>
      </c>
      <c r="E202">
        <v>25</v>
      </c>
      <c r="F202">
        <f t="shared" si="15"/>
        <v>25</v>
      </c>
      <c r="G202" t="s">
        <v>197</v>
      </c>
      <c r="H202" t="s">
        <v>79</v>
      </c>
      <c r="I202" t="s">
        <v>51</v>
      </c>
      <c r="J202">
        <v>2</v>
      </c>
      <c r="K202">
        <f t="shared" si="16"/>
        <v>2</v>
      </c>
      <c r="L202">
        <v>100</v>
      </c>
      <c r="M202" t="str">
        <f t="shared" si="17"/>
        <v>100</v>
      </c>
      <c r="N202">
        <v>2.5</v>
      </c>
      <c r="O202" s="3">
        <f t="shared" si="18"/>
        <v>2.5</v>
      </c>
      <c r="P202" t="s">
        <v>166</v>
      </c>
      <c r="Q202" t="str" cm="1">
        <f t="array" ref="Q202">_xlfn.IFS(ISBLANK(P202),"Not Specified",OR(P202="N",P202=FALSE,P202="no",P202=0),"no",TRUE,"yes")</f>
        <v>no</v>
      </c>
      <c r="R202">
        <v>87</v>
      </c>
      <c r="S202">
        <f t="shared" si="19"/>
        <v>87</v>
      </c>
    </row>
    <row r="203" spans="1:19">
      <c r="A203" t="s">
        <v>493</v>
      </c>
      <c r="B203" t="s">
        <v>494</v>
      </c>
      <c r="C203" t="s">
        <v>27</v>
      </c>
      <c r="D203" t="str" cm="1">
        <f t="array" ref="D203">_xlfn.IFS(OR(LOWER(C203)="f",LOWER(C203)="female"),"Female",TRUE,"Male")</f>
        <v>Female</v>
      </c>
      <c r="E203">
        <v>55</v>
      </c>
      <c r="F203">
        <f t="shared" si="15"/>
        <v>55</v>
      </c>
      <c r="G203" t="s">
        <v>182</v>
      </c>
      <c r="H203" t="s">
        <v>183</v>
      </c>
      <c r="I203" t="s">
        <v>121</v>
      </c>
      <c r="J203">
        <v>7</v>
      </c>
      <c r="K203">
        <f t="shared" si="16"/>
        <v>7</v>
      </c>
      <c r="L203">
        <v>100</v>
      </c>
      <c r="M203" t="str">
        <f t="shared" si="17"/>
        <v>100</v>
      </c>
      <c r="N203">
        <v>1.7</v>
      </c>
      <c r="O203" s="3">
        <f t="shared" si="18"/>
        <v>1.7</v>
      </c>
      <c r="P203">
        <v>1</v>
      </c>
      <c r="Q203" t="str" cm="1">
        <f t="array" ref="Q203">_xlfn.IFS(ISBLANK(P203),"Not Specified",OR(P203="N",P203=FALSE,P203="no",P203=0),"no",TRUE,"yes")</f>
        <v>yes</v>
      </c>
      <c r="R203" s="5">
        <v>0.8</v>
      </c>
      <c r="S203">
        <f t="shared" si="19"/>
        <v>80</v>
      </c>
    </row>
    <row r="204" spans="1:19">
      <c r="A204" t="s">
        <v>495</v>
      </c>
      <c r="B204" t="s">
        <v>496</v>
      </c>
      <c r="C204" t="s">
        <v>55</v>
      </c>
      <c r="D204" t="str" cm="1">
        <f t="array" ref="D204">_xlfn.IFS(OR(LOWER(C204)="f",LOWER(C204)="female"),"Female",TRUE,"Male")</f>
        <v>Male</v>
      </c>
      <c r="E204">
        <v>42</v>
      </c>
      <c r="F204">
        <f t="shared" si="15"/>
        <v>42</v>
      </c>
      <c r="G204" t="s">
        <v>22</v>
      </c>
      <c r="H204" t="s">
        <v>23</v>
      </c>
      <c r="I204" t="s">
        <v>96</v>
      </c>
      <c r="J204">
        <v>10</v>
      </c>
      <c r="K204">
        <f t="shared" si="16"/>
        <v>10</v>
      </c>
      <c r="L204" t="s">
        <v>31</v>
      </c>
      <c r="M204" t="str">
        <f t="shared" si="17"/>
        <v> 100</v>
      </c>
      <c r="N204">
        <v>4.6</v>
      </c>
      <c r="O204" s="3">
        <f t="shared" si="18"/>
        <v>4.6</v>
      </c>
      <c r="P204" t="s">
        <v>81</v>
      </c>
      <c r="Q204" t="str" cm="1">
        <f t="array" ref="Q204">_xlfn.IFS(ISBLANK(P204),"Not Specified",OR(P204="N",P204=FALSE,P204="no",P204=0),"no",TRUE,"yes")</f>
        <v>yes</v>
      </c>
      <c r="R204" s="5">
        <v>0.71</v>
      </c>
      <c r="S204">
        <f t="shared" si="19"/>
        <v>71</v>
      </c>
    </row>
    <row r="205" spans="1:19">
      <c r="A205" t="s">
        <v>497</v>
      </c>
      <c r="B205" t="s">
        <v>498</v>
      </c>
      <c r="C205" t="s">
        <v>34</v>
      </c>
      <c r="D205" t="str" cm="1">
        <f t="array" ref="D205">_xlfn.IFS(OR(LOWER(C205)="f",LOWER(C205)="female"),"Female",TRUE,"Male")</f>
        <v>Male</v>
      </c>
      <c r="E205">
        <v>43</v>
      </c>
      <c r="F205">
        <f t="shared" si="15"/>
        <v>43</v>
      </c>
      <c r="G205" t="s">
        <v>131</v>
      </c>
      <c r="H205" t="s">
        <v>132</v>
      </c>
      <c r="I205" t="s">
        <v>30</v>
      </c>
      <c r="J205">
        <v>6</v>
      </c>
      <c r="K205">
        <f t="shared" si="16"/>
        <v>6</v>
      </c>
      <c r="L205">
        <v>50</v>
      </c>
      <c r="M205" t="str">
        <f t="shared" si="17"/>
        <v>50</v>
      </c>
      <c r="O205" s="3" t="str">
        <f t="shared" si="18"/>
        <v>Not Specified</v>
      </c>
      <c r="P205" t="s">
        <v>38</v>
      </c>
      <c r="Q205" t="str" cm="1">
        <f t="array" ref="Q205">_xlfn.IFS(ISBLANK(P205),"Not Specified",OR(P205="N",P205=FALSE,P205="no",P205=0),"no",TRUE,"yes")</f>
        <v>no</v>
      </c>
      <c r="R205" s="5">
        <v>0.77</v>
      </c>
      <c r="S205">
        <f t="shared" si="19"/>
        <v>77</v>
      </c>
    </row>
    <row r="206" spans="1:19">
      <c r="A206" t="s">
        <v>499</v>
      </c>
      <c r="B206" t="s">
        <v>500</v>
      </c>
      <c r="C206" t="s">
        <v>55</v>
      </c>
      <c r="D206" t="str" cm="1">
        <f t="array" ref="D206">_xlfn.IFS(OR(LOWER(C206)="f",LOWER(C206)="female"),"Female",TRUE,"Male")</f>
        <v>Male</v>
      </c>
      <c r="E206">
        <v>54</v>
      </c>
      <c r="F206">
        <f t="shared" si="15"/>
        <v>54</v>
      </c>
      <c r="G206" t="s">
        <v>22</v>
      </c>
      <c r="H206" t="s">
        <v>23</v>
      </c>
      <c r="I206" t="s">
        <v>96</v>
      </c>
      <c r="J206">
        <v>29</v>
      </c>
      <c r="K206">
        <f t="shared" si="16"/>
        <v>29</v>
      </c>
      <c r="L206" t="s">
        <v>52</v>
      </c>
      <c r="M206" t="str">
        <f t="shared" si="17"/>
        <v>30</v>
      </c>
      <c r="N206">
        <v>1.7</v>
      </c>
      <c r="O206" s="3">
        <f t="shared" si="18"/>
        <v>1.7</v>
      </c>
      <c r="P206">
        <v>0</v>
      </c>
      <c r="Q206" t="str" cm="1">
        <f t="array" ref="Q206">_xlfn.IFS(ISBLANK(P206),"Not Specified",OR(P206="N",P206=FALSE,P206="no",P206=0),"no",TRUE,"yes")</f>
        <v>no</v>
      </c>
      <c r="R206">
        <v>68</v>
      </c>
      <c r="S206">
        <f t="shared" si="19"/>
        <v>68</v>
      </c>
    </row>
    <row r="207" spans="1:19">
      <c r="A207" t="s">
        <v>501</v>
      </c>
      <c r="B207" t="s">
        <v>502</v>
      </c>
      <c r="C207" t="s">
        <v>27</v>
      </c>
      <c r="D207" t="str" cm="1">
        <f t="array" ref="D207">_xlfn.IFS(OR(LOWER(C207)="f",LOWER(C207)="female"),"Female",TRUE,"Male")</f>
        <v>Female</v>
      </c>
      <c r="E207">
        <v>21</v>
      </c>
      <c r="F207">
        <f t="shared" si="15"/>
        <v>21</v>
      </c>
      <c r="G207" t="s">
        <v>146</v>
      </c>
      <c r="H207" t="s">
        <v>147</v>
      </c>
      <c r="I207" t="s">
        <v>37</v>
      </c>
      <c r="J207">
        <v>0</v>
      </c>
      <c r="K207">
        <f t="shared" si="16"/>
        <v>0</v>
      </c>
      <c r="L207">
        <v>20</v>
      </c>
      <c r="M207" t="str">
        <f t="shared" si="17"/>
        <v>20</v>
      </c>
      <c r="N207">
        <v>1.8</v>
      </c>
      <c r="O207" s="3">
        <f t="shared" si="18"/>
        <v>1.8</v>
      </c>
      <c r="P207" t="s">
        <v>38</v>
      </c>
      <c r="Q207" t="str" cm="1">
        <f t="array" ref="Q207">_xlfn.IFS(ISBLANK(P207),"Not Specified",OR(P207="N",P207=FALSE,P207="no",P207=0),"no",TRUE,"yes")</f>
        <v>no</v>
      </c>
      <c r="R207" s="5">
        <v>0.91</v>
      </c>
      <c r="S207">
        <f t="shared" si="19"/>
        <v>91</v>
      </c>
    </row>
    <row r="208" spans="1:19">
      <c r="A208" t="s">
        <v>503</v>
      </c>
      <c r="B208" t="s">
        <v>504</v>
      </c>
      <c r="C208" t="s">
        <v>55</v>
      </c>
      <c r="D208" t="str" cm="1">
        <f t="array" ref="D208">_xlfn.IFS(OR(LOWER(C208)="f",LOWER(C208)="female"),"Female",TRUE,"Male")</f>
        <v>Male</v>
      </c>
      <c r="E208">
        <v>46</v>
      </c>
      <c r="F208">
        <f t="shared" si="15"/>
        <v>46</v>
      </c>
      <c r="G208" t="s">
        <v>135</v>
      </c>
      <c r="H208" t="s">
        <v>29</v>
      </c>
      <c r="I208" t="s">
        <v>80</v>
      </c>
      <c r="J208">
        <v>5</v>
      </c>
      <c r="K208">
        <f t="shared" si="16"/>
        <v>5</v>
      </c>
      <c r="L208">
        <v>20</v>
      </c>
      <c r="M208" t="str">
        <f t="shared" si="17"/>
        <v>20</v>
      </c>
      <c r="N208">
        <v>2.2</v>
      </c>
      <c r="O208" s="3">
        <f t="shared" si="18"/>
        <v>2.2</v>
      </c>
      <c r="P208" t="b">
        <v>0</v>
      </c>
      <c r="Q208" t="str" cm="1">
        <f t="array" ref="Q208">_xlfn.IFS(ISBLANK(P208),"Not Specified",OR(P208="N",P208=FALSE,P208="no",P208=0),"no",TRUE,"yes")</f>
        <v>no</v>
      </c>
      <c r="R208" s="5">
        <v>0.75</v>
      </c>
      <c r="S208">
        <f t="shared" si="19"/>
        <v>75</v>
      </c>
    </row>
    <row r="209" spans="1:19">
      <c r="A209" t="s">
        <v>505</v>
      </c>
      <c r="B209" t="s">
        <v>506</v>
      </c>
      <c r="C209" t="s">
        <v>21</v>
      </c>
      <c r="D209" t="str" cm="1">
        <f t="array" ref="D209">_xlfn.IFS(OR(LOWER(C209)="f",LOWER(C209)="female"),"Female",TRUE,"Male")</f>
        <v>Female</v>
      </c>
      <c r="E209">
        <v>30</v>
      </c>
      <c r="F209">
        <f t="shared" si="15"/>
        <v>30</v>
      </c>
      <c r="G209" t="s">
        <v>197</v>
      </c>
      <c r="H209" t="s">
        <v>79</v>
      </c>
      <c r="I209" t="s">
        <v>24</v>
      </c>
      <c r="J209">
        <v>11</v>
      </c>
      <c r="K209">
        <f t="shared" si="16"/>
        <v>11</v>
      </c>
      <c r="L209">
        <v>40</v>
      </c>
      <c r="M209" t="str">
        <f t="shared" si="17"/>
        <v>40</v>
      </c>
      <c r="N209">
        <v>1</v>
      </c>
      <c r="O209" s="3">
        <f t="shared" si="18"/>
        <v>1</v>
      </c>
      <c r="P209" t="s">
        <v>38</v>
      </c>
      <c r="Q209" t="str" cm="1">
        <f t="array" ref="Q209">_xlfn.IFS(ISBLANK(P209),"Not Specified",OR(P209="N",P209=FALSE,P209="no",P209=0),"no",TRUE,"yes")</f>
        <v>no</v>
      </c>
      <c r="R209" s="5">
        <v>0.9</v>
      </c>
      <c r="S209">
        <f t="shared" si="19"/>
        <v>90</v>
      </c>
    </row>
    <row r="210" spans="1:19">
      <c r="A210" t="s">
        <v>507</v>
      </c>
      <c r="B210" t="s">
        <v>508</v>
      </c>
      <c r="C210" t="s">
        <v>34</v>
      </c>
      <c r="D210" t="str" cm="1">
        <f t="array" ref="D210">_xlfn.IFS(OR(LOWER(C210)="f",LOWER(C210)="female"),"Female",TRUE,"Male")</f>
        <v>Male</v>
      </c>
      <c r="E210">
        <v>36</v>
      </c>
      <c r="F210">
        <f t="shared" si="15"/>
        <v>36</v>
      </c>
      <c r="G210" t="s">
        <v>182</v>
      </c>
      <c r="H210" t="s">
        <v>183</v>
      </c>
      <c r="I210" t="s">
        <v>121</v>
      </c>
      <c r="J210">
        <v>11</v>
      </c>
      <c r="K210">
        <f t="shared" si="16"/>
        <v>11</v>
      </c>
      <c r="L210" t="s">
        <v>177</v>
      </c>
      <c r="M210" t="str">
        <f t="shared" si="17"/>
        <v>75</v>
      </c>
      <c r="N210">
        <v>3.2</v>
      </c>
      <c r="O210" s="3">
        <f t="shared" si="18"/>
        <v>3.2</v>
      </c>
      <c r="P210">
        <v>0</v>
      </c>
      <c r="Q210" t="str" cm="1">
        <f t="array" ref="Q210">_xlfn.IFS(ISBLANK(P210),"Not Specified",OR(P210="N",P210=FALSE,P210="no",P210=0),"no",TRUE,"yes")</f>
        <v>no</v>
      </c>
      <c r="R210">
        <v>93</v>
      </c>
      <c r="S210">
        <f t="shared" si="19"/>
        <v>93</v>
      </c>
    </row>
    <row r="211" spans="1:19">
      <c r="A211" t="s">
        <v>509</v>
      </c>
      <c r="B211" t="s">
        <v>510</v>
      </c>
      <c r="C211" t="s">
        <v>84</v>
      </c>
      <c r="D211" t="str" cm="1">
        <f t="array" ref="D211">_xlfn.IFS(OR(LOWER(C211)="f",LOWER(C211)="female"),"Female",TRUE,"Male")</f>
        <v>Female</v>
      </c>
      <c r="E211">
        <v>47</v>
      </c>
      <c r="F211">
        <f t="shared" si="15"/>
        <v>47</v>
      </c>
      <c r="G211" t="s">
        <v>35</v>
      </c>
      <c r="H211" t="s">
        <v>36</v>
      </c>
      <c r="I211" t="s">
        <v>58</v>
      </c>
      <c r="J211">
        <v>15</v>
      </c>
      <c r="K211">
        <f t="shared" si="16"/>
        <v>15</v>
      </c>
      <c r="L211">
        <v>40</v>
      </c>
      <c r="M211" t="str">
        <f t="shared" si="17"/>
        <v>40</v>
      </c>
      <c r="N211">
        <v>2.1</v>
      </c>
      <c r="O211" s="3">
        <f t="shared" si="18"/>
        <v>2.1</v>
      </c>
      <c r="P211" t="s">
        <v>75</v>
      </c>
      <c r="Q211" t="str" cm="1">
        <f t="array" ref="Q211">_xlfn.IFS(ISBLANK(P211),"Not Specified",OR(P211="N",P211=FALSE,P211="no",P211=0),"no",TRUE,"yes")</f>
        <v>yes</v>
      </c>
      <c r="R211" s="5">
        <v>0.94</v>
      </c>
      <c r="S211">
        <f t="shared" si="19"/>
        <v>94</v>
      </c>
    </row>
    <row r="212" spans="1:19">
      <c r="A212" t="s">
        <v>511</v>
      </c>
      <c r="B212" t="s">
        <v>512</v>
      </c>
      <c r="C212" t="s">
        <v>41</v>
      </c>
      <c r="D212" t="str" cm="1">
        <f t="array" ref="D212">_xlfn.IFS(OR(LOWER(C212)="f",LOWER(C212)="female"),"Female",TRUE,"Male")</f>
        <v>Female</v>
      </c>
      <c r="E212">
        <v>43</v>
      </c>
      <c r="F212">
        <f t="shared" si="15"/>
        <v>43</v>
      </c>
      <c r="G212" t="s">
        <v>135</v>
      </c>
      <c r="H212" t="s">
        <v>29</v>
      </c>
      <c r="I212" t="s">
        <v>30</v>
      </c>
      <c r="J212">
        <v>1</v>
      </c>
      <c r="K212">
        <f t="shared" si="16"/>
        <v>1</v>
      </c>
      <c r="L212" t="s">
        <v>105</v>
      </c>
      <c r="M212" t="str">
        <f t="shared" si="17"/>
        <v> 50</v>
      </c>
      <c r="N212">
        <v>4.6</v>
      </c>
      <c r="O212" s="3">
        <f t="shared" si="18"/>
        <v>4.6</v>
      </c>
      <c r="P212" t="b">
        <v>1</v>
      </c>
      <c r="Q212" t="str" cm="1">
        <f t="array" ref="Q212">_xlfn.IFS(ISBLANK(P212),"Not Specified",OR(P212="N",P212=FALSE,P212="no",P212=0),"no",TRUE,"yes")</f>
        <v>yes</v>
      </c>
      <c r="R212">
        <v>64</v>
      </c>
      <c r="S212">
        <f t="shared" si="19"/>
        <v>64</v>
      </c>
    </row>
    <row r="213" spans="1:19">
      <c r="A213" t="s">
        <v>513</v>
      </c>
      <c r="B213" t="s">
        <v>514</v>
      </c>
      <c r="C213" t="s">
        <v>55</v>
      </c>
      <c r="D213" t="str" cm="1">
        <f t="array" ref="D213">_xlfn.IFS(OR(LOWER(C213)="f",LOWER(C213)="female"),"Female",TRUE,"Male")</f>
        <v>Male</v>
      </c>
      <c r="E213">
        <v>57</v>
      </c>
      <c r="F213">
        <f t="shared" si="15"/>
        <v>57</v>
      </c>
      <c r="G213" t="s">
        <v>119</v>
      </c>
      <c r="H213" t="s">
        <v>120</v>
      </c>
      <c r="I213" t="s">
        <v>85</v>
      </c>
      <c r="J213">
        <v>8</v>
      </c>
      <c r="K213">
        <f t="shared" si="16"/>
        <v>8</v>
      </c>
      <c r="L213" t="s">
        <v>128</v>
      </c>
      <c r="M213" t="str">
        <f t="shared" si="17"/>
        <v>20</v>
      </c>
      <c r="N213">
        <v>0</v>
      </c>
      <c r="O213" s="3" t="str">
        <f t="shared" si="18"/>
        <v>Not Specified</v>
      </c>
      <c r="P213" t="s">
        <v>75</v>
      </c>
      <c r="Q213" t="str" cm="1">
        <f t="array" ref="Q213">_xlfn.IFS(ISBLANK(P213),"Not Specified",OR(P213="N",P213=FALSE,P213="no",P213=0),"no",TRUE,"yes")</f>
        <v>yes</v>
      </c>
      <c r="R213" s="5">
        <v>0.84</v>
      </c>
      <c r="S213">
        <f t="shared" si="19"/>
        <v>84</v>
      </c>
    </row>
    <row r="214" spans="1:19">
      <c r="A214" t="s">
        <v>515</v>
      </c>
      <c r="B214" t="s">
        <v>516</v>
      </c>
      <c r="C214" t="s">
        <v>34</v>
      </c>
      <c r="D214" t="str" cm="1">
        <f t="array" ref="D214">_xlfn.IFS(OR(LOWER(C214)="f",LOWER(C214)="female"),"Female",TRUE,"Male")</f>
        <v>Male</v>
      </c>
      <c r="E214">
        <v>52</v>
      </c>
      <c r="F214">
        <f t="shared" si="15"/>
        <v>52</v>
      </c>
      <c r="G214" t="s">
        <v>22</v>
      </c>
      <c r="H214" t="s">
        <v>23</v>
      </c>
      <c r="I214" t="s">
        <v>121</v>
      </c>
      <c r="J214">
        <v>30</v>
      </c>
      <c r="K214">
        <f t="shared" si="16"/>
        <v>30</v>
      </c>
      <c r="L214" t="s">
        <v>128</v>
      </c>
      <c r="M214" t="str">
        <f t="shared" si="17"/>
        <v>20</v>
      </c>
      <c r="N214">
        <v>2.8</v>
      </c>
      <c r="O214" s="3">
        <f t="shared" si="18"/>
        <v>2.8</v>
      </c>
      <c r="P214" t="s">
        <v>166</v>
      </c>
      <c r="Q214" t="str" cm="1">
        <f t="array" ref="Q214">_xlfn.IFS(ISBLANK(P214),"Not Specified",OR(P214="N",P214=FALSE,P214="no",P214=0),"no",TRUE,"yes")</f>
        <v>no</v>
      </c>
      <c r="R214" s="5">
        <v>0.87</v>
      </c>
      <c r="S214">
        <f t="shared" si="19"/>
        <v>87</v>
      </c>
    </row>
    <row r="215" spans="1:19">
      <c r="A215" t="s">
        <v>517</v>
      </c>
      <c r="B215" t="s">
        <v>518</v>
      </c>
      <c r="C215" t="s">
        <v>68</v>
      </c>
      <c r="D215" t="str" cm="1">
        <f t="array" ref="D215">_xlfn.IFS(OR(LOWER(C215)="f",LOWER(C215)="female"),"Female",TRUE,"Male")</f>
        <v>Male</v>
      </c>
      <c r="F215" t="str">
        <f t="shared" si="15"/>
        <v>Not Specified</v>
      </c>
      <c r="G215" t="s">
        <v>35</v>
      </c>
      <c r="H215" t="s">
        <v>36</v>
      </c>
      <c r="I215" t="s">
        <v>24</v>
      </c>
      <c r="J215">
        <v>8</v>
      </c>
      <c r="K215">
        <f t="shared" si="16"/>
        <v>8</v>
      </c>
      <c r="L215" t="s">
        <v>43</v>
      </c>
      <c r="M215" t="str">
        <f t="shared" si="17"/>
        <v>40</v>
      </c>
      <c r="N215">
        <v>0</v>
      </c>
      <c r="O215" s="3" t="str">
        <f t="shared" si="18"/>
        <v>Not Specified</v>
      </c>
      <c r="P215" t="s">
        <v>38</v>
      </c>
      <c r="Q215" t="str" cm="1">
        <f t="array" ref="Q215">_xlfn.IFS(ISBLANK(P215),"Not Specified",OR(P215="N",P215=FALSE,P215="no",P215=0),"no",TRUE,"yes")</f>
        <v>no</v>
      </c>
      <c r="R215" s="5">
        <v>0.64</v>
      </c>
      <c r="S215">
        <f t="shared" si="19"/>
        <v>64</v>
      </c>
    </row>
    <row r="216" spans="1:19">
      <c r="A216" t="s">
        <v>519</v>
      </c>
      <c r="B216" t="s">
        <v>520</v>
      </c>
      <c r="C216" t="s">
        <v>46</v>
      </c>
      <c r="D216" t="str" cm="1">
        <f t="array" ref="D216">_xlfn.IFS(OR(LOWER(C216)="f",LOWER(C216)="female"),"Female",TRUE,"Male")</f>
        <v>Female</v>
      </c>
      <c r="E216">
        <v>22</v>
      </c>
      <c r="F216">
        <f t="shared" si="15"/>
        <v>22</v>
      </c>
      <c r="G216" t="s">
        <v>56</v>
      </c>
      <c r="H216" t="s">
        <v>57</v>
      </c>
      <c r="I216" t="s">
        <v>121</v>
      </c>
      <c r="J216">
        <v>0</v>
      </c>
      <c r="K216">
        <f t="shared" si="16"/>
        <v>0</v>
      </c>
      <c r="L216">
        <v>100</v>
      </c>
      <c r="M216" t="str">
        <f t="shared" si="17"/>
        <v>100</v>
      </c>
      <c r="N216">
        <v>2.7</v>
      </c>
      <c r="O216" s="3">
        <f t="shared" si="18"/>
        <v>2.7</v>
      </c>
      <c r="P216" t="b">
        <v>1</v>
      </c>
      <c r="Q216" t="str" cm="1">
        <f t="array" ref="Q216">_xlfn.IFS(ISBLANK(P216),"Not Specified",OR(P216="N",P216=FALSE,P216="no",P216=0),"no",TRUE,"yes")</f>
        <v>yes</v>
      </c>
      <c r="R216" s="5">
        <v>0.64</v>
      </c>
      <c r="S216">
        <f t="shared" si="19"/>
        <v>64</v>
      </c>
    </row>
    <row r="217" spans="1:19">
      <c r="A217" t="s">
        <v>521</v>
      </c>
      <c r="B217" t="s">
        <v>522</v>
      </c>
      <c r="C217" t="s">
        <v>55</v>
      </c>
      <c r="D217" t="str" cm="1">
        <f t="array" ref="D217">_xlfn.IFS(OR(LOWER(C217)="f",LOWER(C217)="female"),"Female",TRUE,"Male")</f>
        <v>Male</v>
      </c>
      <c r="F217" t="str">
        <f t="shared" si="15"/>
        <v>Not Specified</v>
      </c>
      <c r="G217" t="s">
        <v>100</v>
      </c>
      <c r="H217" t="s">
        <v>101</v>
      </c>
      <c r="I217" t="s">
        <v>121</v>
      </c>
      <c r="J217">
        <v>12</v>
      </c>
      <c r="K217">
        <f t="shared" si="16"/>
        <v>12</v>
      </c>
      <c r="L217" t="s">
        <v>128</v>
      </c>
      <c r="M217" t="str">
        <f t="shared" si="17"/>
        <v>20</v>
      </c>
      <c r="N217">
        <v>0</v>
      </c>
      <c r="O217" s="3" t="str">
        <f t="shared" si="18"/>
        <v>Not Specified</v>
      </c>
      <c r="P217" t="b">
        <v>1</v>
      </c>
      <c r="Q217" t="str" cm="1">
        <f t="array" ref="Q217">_xlfn.IFS(ISBLANK(P217),"Not Specified",OR(P217="N",P217=FALSE,P217="no",P217=0),"no",TRUE,"yes")</f>
        <v>yes</v>
      </c>
      <c r="R217" s="5">
        <v>0.8</v>
      </c>
      <c r="S217">
        <f t="shared" si="19"/>
        <v>80</v>
      </c>
    </row>
    <row r="218" spans="1:19">
      <c r="A218" t="s">
        <v>523</v>
      </c>
      <c r="B218" t="s">
        <v>524</v>
      </c>
      <c r="C218" t="s">
        <v>41</v>
      </c>
      <c r="D218" t="str" cm="1">
        <f t="array" ref="D218">_xlfn.IFS(OR(LOWER(C218)="f",LOWER(C218)="female"),"Female",TRUE,"Male")</f>
        <v>Female</v>
      </c>
      <c r="E218">
        <v>58</v>
      </c>
      <c r="F218">
        <f t="shared" si="15"/>
        <v>58</v>
      </c>
      <c r="G218" t="s">
        <v>197</v>
      </c>
      <c r="H218" t="s">
        <v>79</v>
      </c>
      <c r="I218" t="s">
        <v>30</v>
      </c>
      <c r="J218">
        <v>4</v>
      </c>
      <c r="K218">
        <f t="shared" si="16"/>
        <v>4</v>
      </c>
      <c r="L218" t="s">
        <v>71</v>
      </c>
      <c r="M218" t="str">
        <f t="shared" si="17"/>
        <v>50</v>
      </c>
      <c r="N218">
        <v>3.1</v>
      </c>
      <c r="O218" s="3">
        <f t="shared" si="18"/>
        <v>3.1</v>
      </c>
      <c r="P218">
        <v>0</v>
      </c>
      <c r="Q218" t="str" cm="1">
        <f t="array" ref="Q218">_xlfn.IFS(ISBLANK(P218),"Not Specified",OR(P218="N",P218=FALSE,P218="no",P218=0),"no",TRUE,"yes")</f>
        <v>no</v>
      </c>
      <c r="R218" s="5">
        <v>0.9</v>
      </c>
      <c r="S218">
        <f t="shared" si="19"/>
        <v>90</v>
      </c>
    </row>
    <row r="219" spans="1:19">
      <c r="A219" t="s">
        <v>525</v>
      </c>
      <c r="B219" t="s">
        <v>526</v>
      </c>
      <c r="C219" t="s">
        <v>99</v>
      </c>
      <c r="D219" t="str" cm="1">
        <f t="array" ref="D219">_xlfn.IFS(OR(LOWER(C219)="f",LOWER(C219)="female"),"Female",TRUE,"Male")</f>
        <v>Male</v>
      </c>
      <c r="E219">
        <v>39</v>
      </c>
      <c r="F219">
        <f t="shared" si="15"/>
        <v>39</v>
      </c>
      <c r="G219" t="s">
        <v>119</v>
      </c>
      <c r="H219" t="s">
        <v>120</v>
      </c>
      <c r="I219" t="s">
        <v>42</v>
      </c>
      <c r="J219">
        <v>14</v>
      </c>
      <c r="K219">
        <f t="shared" si="16"/>
        <v>14</v>
      </c>
      <c r="L219" t="s">
        <v>31</v>
      </c>
      <c r="M219" t="str">
        <f t="shared" si="17"/>
        <v> 100</v>
      </c>
      <c r="N219">
        <v>0</v>
      </c>
      <c r="O219" s="3" t="str">
        <f t="shared" si="18"/>
        <v>Not Specified</v>
      </c>
      <c r="P219" t="s">
        <v>81</v>
      </c>
      <c r="Q219" t="str" cm="1">
        <f t="array" ref="Q219">_xlfn.IFS(ISBLANK(P219),"Not Specified",OR(P219="N",P219=FALSE,P219="no",P219=0),"no",TRUE,"yes")</f>
        <v>yes</v>
      </c>
      <c r="R219" s="5">
        <v>0.92</v>
      </c>
      <c r="S219">
        <f t="shared" si="19"/>
        <v>92</v>
      </c>
    </row>
    <row r="220" spans="1:19">
      <c r="A220" t="s">
        <v>527</v>
      </c>
      <c r="B220" t="s">
        <v>528</v>
      </c>
      <c r="C220" t="s">
        <v>99</v>
      </c>
      <c r="D220" t="str" cm="1">
        <f t="array" ref="D220">_xlfn.IFS(OR(LOWER(C220)="f",LOWER(C220)="female"),"Female",TRUE,"Male")</f>
        <v>Male</v>
      </c>
      <c r="E220">
        <v>32</v>
      </c>
      <c r="F220">
        <f t="shared" si="15"/>
        <v>32</v>
      </c>
      <c r="G220" t="s">
        <v>56</v>
      </c>
      <c r="H220" t="s">
        <v>57</v>
      </c>
      <c r="I220" t="s">
        <v>37</v>
      </c>
      <c r="J220">
        <v>14</v>
      </c>
      <c r="K220">
        <f t="shared" si="16"/>
        <v>14</v>
      </c>
      <c r="M220" t="str">
        <f t="shared" si="17"/>
        <v>Not Specified</v>
      </c>
      <c r="O220" s="3" t="str">
        <f t="shared" si="18"/>
        <v>Not Specified</v>
      </c>
      <c r="P220">
        <v>0</v>
      </c>
      <c r="Q220" t="str" cm="1">
        <f t="array" ref="Q220">_xlfn.IFS(ISBLANK(P220),"Not Specified",OR(P220="N",P220=FALSE,P220="no",P220=0),"no",TRUE,"yes")</f>
        <v>no</v>
      </c>
      <c r="R220" s="5">
        <v>0.96</v>
      </c>
      <c r="S220">
        <f t="shared" si="19"/>
        <v>96</v>
      </c>
    </row>
    <row r="221" spans="1:19">
      <c r="A221" t="s">
        <v>529</v>
      </c>
      <c r="B221" t="s">
        <v>530</v>
      </c>
      <c r="C221" t="s">
        <v>55</v>
      </c>
      <c r="D221" t="str" cm="1">
        <f t="array" ref="D221">_xlfn.IFS(OR(LOWER(C221)="f",LOWER(C221)="female"),"Female",TRUE,"Male")</f>
        <v>Male</v>
      </c>
      <c r="E221">
        <v>37</v>
      </c>
      <c r="F221">
        <f t="shared" si="15"/>
        <v>37</v>
      </c>
      <c r="G221" t="s">
        <v>135</v>
      </c>
      <c r="H221" t="s">
        <v>29</v>
      </c>
      <c r="I221" t="s">
        <v>80</v>
      </c>
      <c r="J221">
        <v>2</v>
      </c>
      <c r="K221">
        <f t="shared" si="16"/>
        <v>2</v>
      </c>
      <c r="L221" t="s">
        <v>52</v>
      </c>
      <c r="M221" t="str">
        <f t="shared" si="17"/>
        <v>30</v>
      </c>
      <c r="N221">
        <v>2.3</v>
      </c>
      <c r="O221" s="3">
        <f t="shared" si="18"/>
        <v>2.3</v>
      </c>
      <c r="P221" t="s">
        <v>75</v>
      </c>
      <c r="Q221" t="str" cm="1">
        <f t="array" ref="Q221">_xlfn.IFS(ISBLANK(P221),"Not Specified",OR(P221="N",P221=FALSE,P221="no",P221=0),"no",TRUE,"yes")</f>
        <v>yes</v>
      </c>
      <c r="S221" t="str">
        <f t="shared" si="19"/>
        <v>Not Specified</v>
      </c>
    </row>
    <row r="222" spans="1:19">
      <c r="A222" t="s">
        <v>531</v>
      </c>
      <c r="B222" t="s">
        <v>532</v>
      </c>
      <c r="C222" t="s">
        <v>27</v>
      </c>
      <c r="D222" t="str" cm="1">
        <f t="array" ref="D222">_xlfn.IFS(OR(LOWER(C222)="f",LOWER(C222)="female"),"Female",TRUE,"Male")</f>
        <v>Female</v>
      </c>
      <c r="E222">
        <v>21</v>
      </c>
      <c r="F222">
        <f t="shared" si="15"/>
        <v>21</v>
      </c>
      <c r="G222" t="s">
        <v>182</v>
      </c>
      <c r="H222" t="s">
        <v>183</v>
      </c>
      <c r="I222" t="s">
        <v>85</v>
      </c>
      <c r="J222">
        <v>2</v>
      </c>
      <c r="K222">
        <f t="shared" si="16"/>
        <v>2</v>
      </c>
      <c r="L222">
        <v>100</v>
      </c>
      <c r="M222" t="str">
        <f t="shared" si="17"/>
        <v>100</v>
      </c>
      <c r="N222">
        <v>2.4</v>
      </c>
      <c r="O222" s="3">
        <f t="shared" si="18"/>
        <v>2.4</v>
      </c>
      <c r="P222" t="s">
        <v>81</v>
      </c>
      <c r="Q222" t="str" cm="1">
        <f t="array" ref="Q222">_xlfn.IFS(ISBLANK(P222),"Not Specified",OR(P222="N",P222=FALSE,P222="no",P222=0),"no",TRUE,"yes")</f>
        <v>yes</v>
      </c>
      <c r="S222" t="str">
        <f t="shared" si="19"/>
        <v>Not Specified</v>
      </c>
    </row>
    <row r="223" spans="1:19">
      <c r="A223" t="s">
        <v>533</v>
      </c>
      <c r="B223" t="s">
        <v>534</v>
      </c>
      <c r="C223" t="s">
        <v>68</v>
      </c>
      <c r="D223" t="str" cm="1">
        <f t="array" ref="D223">_xlfn.IFS(OR(LOWER(C223)="f",LOWER(C223)="female"),"Female",TRUE,"Male")</f>
        <v>Male</v>
      </c>
      <c r="E223">
        <v>41</v>
      </c>
      <c r="F223">
        <f t="shared" si="15"/>
        <v>41</v>
      </c>
      <c r="G223" t="s">
        <v>119</v>
      </c>
      <c r="H223" t="s">
        <v>120</v>
      </c>
      <c r="I223" t="s">
        <v>121</v>
      </c>
      <c r="J223">
        <v>4</v>
      </c>
      <c r="K223">
        <f t="shared" si="16"/>
        <v>4</v>
      </c>
      <c r="L223">
        <v>75</v>
      </c>
      <c r="M223" t="str">
        <f t="shared" si="17"/>
        <v>75</v>
      </c>
      <c r="N223">
        <v>2.6</v>
      </c>
      <c r="O223" s="3">
        <f t="shared" si="18"/>
        <v>2.6</v>
      </c>
      <c r="Q223" t="str" cm="1">
        <f t="array" ref="Q223">_xlfn.IFS(ISBLANK(P223),"Not Specified",OR(P223="N",P223=FALSE,P223="no",P223=0),"no",TRUE,"yes")</f>
        <v>Not Specified</v>
      </c>
      <c r="R223" s="5">
        <v>0.85</v>
      </c>
      <c r="S223">
        <f t="shared" si="19"/>
        <v>85</v>
      </c>
    </row>
    <row r="224" spans="1:19">
      <c r="A224" t="s">
        <v>535</v>
      </c>
      <c r="B224" t="s">
        <v>536</v>
      </c>
      <c r="C224" t="s">
        <v>21</v>
      </c>
      <c r="D224" t="str" cm="1">
        <f t="array" ref="D224">_xlfn.IFS(OR(LOWER(C224)="f",LOWER(C224)="female"),"Female",TRUE,"Male")</f>
        <v>Female</v>
      </c>
      <c r="E224">
        <v>21</v>
      </c>
      <c r="F224">
        <f t="shared" si="15"/>
        <v>21</v>
      </c>
      <c r="G224" t="s">
        <v>135</v>
      </c>
      <c r="H224" t="s">
        <v>29</v>
      </c>
      <c r="I224" t="s">
        <v>51</v>
      </c>
      <c r="J224">
        <v>0</v>
      </c>
      <c r="K224">
        <f t="shared" si="16"/>
        <v>0</v>
      </c>
      <c r="L224" t="s">
        <v>62</v>
      </c>
      <c r="M224" t="str">
        <f t="shared" si="17"/>
        <v> 40</v>
      </c>
      <c r="N224">
        <v>1.1</v>
      </c>
      <c r="O224" s="3">
        <f t="shared" si="18"/>
        <v>1.1</v>
      </c>
      <c r="P224">
        <v>0</v>
      </c>
      <c r="Q224" t="str" cm="1">
        <f t="array" ref="Q224">_xlfn.IFS(ISBLANK(P224),"Not Specified",OR(P224="N",P224=FALSE,P224="no",P224=0),"no",TRUE,"yes")</f>
        <v>no</v>
      </c>
      <c r="R224" s="5">
        <v>0.79</v>
      </c>
      <c r="S224">
        <f t="shared" si="19"/>
        <v>79</v>
      </c>
    </row>
    <row r="225" spans="1:19">
      <c r="A225" t="s">
        <v>537</v>
      </c>
      <c r="B225" t="s">
        <v>538</v>
      </c>
      <c r="C225" t="s">
        <v>41</v>
      </c>
      <c r="D225" t="str" cm="1">
        <f t="array" ref="D225">_xlfn.IFS(OR(LOWER(C225)="f",LOWER(C225)="female"),"Female",TRUE,"Male")</f>
        <v>Female</v>
      </c>
      <c r="E225">
        <v>58</v>
      </c>
      <c r="F225">
        <f t="shared" si="15"/>
        <v>58</v>
      </c>
      <c r="G225" t="s">
        <v>182</v>
      </c>
      <c r="H225" t="s">
        <v>183</v>
      </c>
      <c r="I225" t="s">
        <v>121</v>
      </c>
      <c r="J225">
        <v>9</v>
      </c>
      <c r="K225">
        <f t="shared" si="16"/>
        <v>9</v>
      </c>
      <c r="L225">
        <v>30</v>
      </c>
      <c r="M225" t="str">
        <f t="shared" si="17"/>
        <v>30</v>
      </c>
      <c r="N225">
        <v>0</v>
      </c>
      <c r="O225" s="3" t="str">
        <f t="shared" si="18"/>
        <v>Not Specified</v>
      </c>
      <c r="P225">
        <v>1</v>
      </c>
      <c r="Q225" t="str" cm="1">
        <f t="array" ref="Q225">_xlfn.IFS(ISBLANK(P225),"Not Specified",OR(P225="N",P225=FALSE,P225="no",P225=0),"no",TRUE,"yes")</f>
        <v>yes</v>
      </c>
      <c r="R225" s="5">
        <v>0.65</v>
      </c>
      <c r="S225">
        <f t="shared" si="19"/>
        <v>65</v>
      </c>
    </row>
    <row r="226" spans="1:19">
      <c r="A226" t="s">
        <v>539</v>
      </c>
      <c r="B226" t="s">
        <v>540</v>
      </c>
      <c r="C226" t="s">
        <v>104</v>
      </c>
      <c r="D226" t="str" cm="1">
        <f t="array" ref="D226">_xlfn.IFS(OR(LOWER(C226)="f",LOWER(C226)="female"),"Female",TRUE,"Male")</f>
        <v>Male</v>
      </c>
      <c r="E226">
        <v>60</v>
      </c>
      <c r="F226">
        <f t="shared" si="15"/>
        <v>60</v>
      </c>
      <c r="G226" t="s">
        <v>135</v>
      </c>
      <c r="H226" t="s">
        <v>29</v>
      </c>
      <c r="I226" t="s">
        <v>121</v>
      </c>
      <c r="J226">
        <v>3</v>
      </c>
      <c r="K226">
        <f t="shared" si="16"/>
        <v>3</v>
      </c>
      <c r="L226">
        <v>40</v>
      </c>
      <c r="M226" t="str">
        <f t="shared" si="17"/>
        <v>40</v>
      </c>
      <c r="N226">
        <v>4.7</v>
      </c>
      <c r="O226" s="3">
        <f t="shared" si="18"/>
        <v>4.7</v>
      </c>
      <c r="P226" t="b">
        <v>0</v>
      </c>
      <c r="Q226" t="str" cm="1">
        <f t="array" ref="Q226">_xlfn.IFS(ISBLANK(P226),"Not Specified",OR(P226="N",P226=FALSE,P226="no",P226=0),"no",TRUE,"yes")</f>
        <v>no</v>
      </c>
      <c r="R226" s="5">
        <v>0.63</v>
      </c>
      <c r="S226">
        <f t="shared" si="19"/>
        <v>63</v>
      </c>
    </row>
    <row r="227" spans="1:19">
      <c r="A227" t="s">
        <v>541</v>
      </c>
      <c r="B227" t="s">
        <v>542</v>
      </c>
      <c r="C227" t="s">
        <v>99</v>
      </c>
      <c r="D227" t="str" cm="1">
        <f t="array" ref="D227">_xlfn.IFS(OR(LOWER(C227)="f",LOWER(C227)="female"),"Female",TRUE,"Male")</f>
        <v>Male</v>
      </c>
      <c r="E227">
        <v>27</v>
      </c>
      <c r="F227">
        <f t="shared" si="15"/>
        <v>27</v>
      </c>
      <c r="G227" t="s">
        <v>160</v>
      </c>
      <c r="H227" t="s">
        <v>161</v>
      </c>
      <c r="I227" t="s">
        <v>42</v>
      </c>
      <c r="J227">
        <v>2</v>
      </c>
      <c r="K227">
        <f t="shared" si="16"/>
        <v>2</v>
      </c>
      <c r="L227" t="s">
        <v>43</v>
      </c>
      <c r="M227" t="str">
        <f t="shared" si="17"/>
        <v>40</v>
      </c>
      <c r="N227">
        <v>1.2</v>
      </c>
      <c r="O227" s="3">
        <f t="shared" si="18"/>
        <v>1.2</v>
      </c>
      <c r="P227" t="b">
        <v>0</v>
      </c>
      <c r="Q227" t="str" cm="1">
        <f t="array" ref="Q227">_xlfn.IFS(ISBLANK(P227),"Not Specified",OR(P227="N",P227=FALSE,P227="no",P227=0),"no",TRUE,"yes")</f>
        <v>no</v>
      </c>
      <c r="S227" t="str">
        <f t="shared" si="19"/>
        <v>Not Specified</v>
      </c>
    </row>
    <row r="228" spans="1:19">
      <c r="A228" t="s">
        <v>543</v>
      </c>
      <c r="B228" t="s">
        <v>544</v>
      </c>
      <c r="C228" t="s">
        <v>21</v>
      </c>
      <c r="D228" t="str" cm="1">
        <f t="array" ref="D228">_xlfn.IFS(OR(LOWER(C228)="f",LOWER(C228)="female"),"Female",TRUE,"Male")</f>
        <v>Female</v>
      </c>
      <c r="E228">
        <v>29</v>
      </c>
      <c r="F228">
        <f t="shared" si="15"/>
        <v>29</v>
      </c>
      <c r="G228" t="s">
        <v>35</v>
      </c>
      <c r="H228" t="s">
        <v>36</v>
      </c>
      <c r="I228" t="s">
        <v>121</v>
      </c>
      <c r="J228">
        <v>10</v>
      </c>
      <c r="K228">
        <f t="shared" si="16"/>
        <v>10</v>
      </c>
      <c r="L228" t="s">
        <v>62</v>
      </c>
      <c r="M228" t="str">
        <f t="shared" si="17"/>
        <v> 40</v>
      </c>
      <c r="N228">
        <v>1.2</v>
      </c>
      <c r="O228" s="3">
        <f t="shared" si="18"/>
        <v>1.2</v>
      </c>
      <c r="P228" t="b">
        <v>0</v>
      </c>
      <c r="Q228" t="str" cm="1">
        <f t="array" ref="Q228">_xlfn.IFS(ISBLANK(P228),"Not Specified",OR(P228="N",P228=FALSE,P228="no",P228=0),"no",TRUE,"yes")</f>
        <v>no</v>
      </c>
      <c r="R228" s="5">
        <v>0.78</v>
      </c>
      <c r="S228">
        <f t="shared" si="19"/>
        <v>78</v>
      </c>
    </row>
    <row r="229" spans="1:19">
      <c r="A229" t="s">
        <v>545</v>
      </c>
      <c r="B229" t="s">
        <v>546</v>
      </c>
      <c r="C229" t="s">
        <v>84</v>
      </c>
      <c r="D229" t="str" cm="1">
        <f t="array" ref="D229">_xlfn.IFS(OR(LOWER(C229)="f",LOWER(C229)="female"),"Female",TRUE,"Male")</f>
        <v>Female</v>
      </c>
      <c r="E229">
        <v>54</v>
      </c>
      <c r="F229">
        <f t="shared" si="15"/>
        <v>54</v>
      </c>
      <c r="G229" t="s">
        <v>135</v>
      </c>
      <c r="H229" t="s">
        <v>29</v>
      </c>
      <c r="I229" t="s">
        <v>37</v>
      </c>
      <c r="J229">
        <v>33</v>
      </c>
      <c r="K229">
        <f t="shared" si="16"/>
        <v>33</v>
      </c>
      <c r="L229" t="s">
        <v>177</v>
      </c>
      <c r="M229" t="str">
        <f t="shared" si="17"/>
        <v>75</v>
      </c>
      <c r="N229">
        <v>0</v>
      </c>
      <c r="O229" s="3" t="str">
        <f t="shared" si="18"/>
        <v>Not Specified</v>
      </c>
      <c r="P229">
        <v>1</v>
      </c>
      <c r="Q229" t="str" cm="1">
        <f t="array" ref="Q229">_xlfn.IFS(ISBLANK(P229),"Not Specified",OR(P229="N",P229=FALSE,P229="no",P229=0),"no",TRUE,"yes")</f>
        <v>yes</v>
      </c>
      <c r="R229" s="5">
        <v>0.62</v>
      </c>
      <c r="S229">
        <f t="shared" si="19"/>
        <v>62</v>
      </c>
    </row>
    <row r="230" spans="1:19">
      <c r="A230" t="s">
        <v>547</v>
      </c>
      <c r="B230" t="s">
        <v>548</v>
      </c>
      <c r="C230" t="s">
        <v>99</v>
      </c>
      <c r="D230" t="str" cm="1">
        <f t="array" ref="D230">_xlfn.IFS(OR(LOWER(C230)="f",LOWER(C230)="female"),"Female",TRUE,"Male")</f>
        <v>Male</v>
      </c>
      <c r="E230">
        <v>52</v>
      </c>
      <c r="F230">
        <f t="shared" si="15"/>
        <v>52</v>
      </c>
      <c r="G230" t="s">
        <v>186</v>
      </c>
      <c r="H230" t="s">
        <v>79</v>
      </c>
      <c r="I230" t="s">
        <v>121</v>
      </c>
      <c r="J230">
        <v>12</v>
      </c>
      <c r="K230">
        <f t="shared" si="16"/>
        <v>12</v>
      </c>
      <c r="L230">
        <v>40</v>
      </c>
      <c r="M230" t="str">
        <f t="shared" si="17"/>
        <v>40</v>
      </c>
      <c r="N230">
        <v>1.2</v>
      </c>
      <c r="O230" s="3">
        <f t="shared" si="18"/>
        <v>1.2</v>
      </c>
      <c r="P230">
        <v>0</v>
      </c>
      <c r="Q230" t="str" cm="1">
        <f t="array" ref="Q230">_xlfn.IFS(ISBLANK(P230),"Not Specified",OR(P230="N",P230=FALSE,P230="no",P230=0),"no",TRUE,"yes")</f>
        <v>no</v>
      </c>
      <c r="R230" s="5">
        <v>0.76</v>
      </c>
      <c r="S230">
        <f t="shared" si="19"/>
        <v>76</v>
      </c>
    </row>
    <row r="231" spans="1:19">
      <c r="A231" t="s">
        <v>549</v>
      </c>
      <c r="B231" t="s">
        <v>550</v>
      </c>
      <c r="C231" t="s">
        <v>27</v>
      </c>
      <c r="D231" t="str" cm="1">
        <f t="array" ref="D231">_xlfn.IFS(OR(LOWER(C231)="f",LOWER(C231)="female"),"Female",TRUE,"Male")</f>
        <v>Female</v>
      </c>
      <c r="E231">
        <v>55</v>
      </c>
      <c r="F231">
        <f t="shared" si="15"/>
        <v>55</v>
      </c>
      <c r="G231" t="s">
        <v>56</v>
      </c>
      <c r="H231" t="s">
        <v>57</v>
      </c>
      <c r="I231" t="s">
        <v>24</v>
      </c>
      <c r="J231">
        <v>18</v>
      </c>
      <c r="K231">
        <f t="shared" si="16"/>
        <v>18</v>
      </c>
      <c r="L231">
        <v>100</v>
      </c>
      <c r="M231" t="str">
        <f t="shared" si="17"/>
        <v>100</v>
      </c>
      <c r="N231">
        <v>2.9</v>
      </c>
      <c r="O231" s="3">
        <f t="shared" si="18"/>
        <v>2.9</v>
      </c>
      <c r="P231">
        <v>0</v>
      </c>
      <c r="Q231" t="str" cm="1">
        <f t="array" ref="Q231">_xlfn.IFS(ISBLANK(P231),"Not Specified",OR(P231="N",P231=FALSE,P231="no",P231=0),"no",TRUE,"yes")</f>
        <v>no</v>
      </c>
      <c r="R231">
        <v>97</v>
      </c>
      <c r="S231">
        <f t="shared" si="19"/>
        <v>97</v>
      </c>
    </row>
    <row r="232" spans="1:19">
      <c r="A232" t="s">
        <v>551</v>
      </c>
      <c r="B232" t="s">
        <v>552</v>
      </c>
      <c r="C232" t="s">
        <v>34</v>
      </c>
      <c r="D232" t="str" cm="1">
        <f t="array" ref="D232">_xlfn.IFS(OR(LOWER(C232)="f",LOWER(C232)="female"),"Female",TRUE,"Male")</f>
        <v>Male</v>
      </c>
      <c r="E232">
        <v>37</v>
      </c>
      <c r="F232">
        <f t="shared" si="15"/>
        <v>37</v>
      </c>
      <c r="G232" t="s">
        <v>114</v>
      </c>
      <c r="H232" t="s">
        <v>115</v>
      </c>
      <c r="I232" t="s">
        <v>24</v>
      </c>
      <c r="J232">
        <v>4</v>
      </c>
      <c r="K232">
        <f t="shared" si="16"/>
        <v>4</v>
      </c>
      <c r="M232" t="str">
        <f t="shared" si="17"/>
        <v>Not Specified</v>
      </c>
      <c r="O232" s="3" t="str">
        <f t="shared" si="18"/>
        <v>Not Specified</v>
      </c>
      <c r="P232" t="s">
        <v>38</v>
      </c>
      <c r="Q232" t="str" cm="1">
        <f t="array" ref="Q232">_xlfn.IFS(ISBLANK(P232),"Not Specified",OR(P232="N",P232=FALSE,P232="no",P232=0),"no",TRUE,"yes")</f>
        <v>no</v>
      </c>
      <c r="S232" t="str">
        <f t="shared" si="19"/>
        <v>Not Specified</v>
      </c>
    </row>
    <row r="233" spans="1:19">
      <c r="A233" t="s">
        <v>553</v>
      </c>
      <c r="B233" t="s">
        <v>554</v>
      </c>
      <c r="C233" t="s">
        <v>21</v>
      </c>
      <c r="D233" t="str" cm="1">
        <f t="array" ref="D233">_xlfn.IFS(OR(LOWER(C233)="f",LOWER(C233)="female"),"Female",TRUE,"Male")</f>
        <v>Female</v>
      </c>
      <c r="E233">
        <v>34</v>
      </c>
      <c r="F233">
        <f t="shared" si="15"/>
        <v>34</v>
      </c>
      <c r="G233" t="s">
        <v>146</v>
      </c>
      <c r="H233" t="s">
        <v>147</v>
      </c>
      <c r="I233" t="s">
        <v>58</v>
      </c>
      <c r="J233">
        <v>11</v>
      </c>
      <c r="K233">
        <f t="shared" si="16"/>
        <v>11</v>
      </c>
      <c r="L233" t="s">
        <v>71</v>
      </c>
      <c r="M233" t="str">
        <f t="shared" si="17"/>
        <v>50</v>
      </c>
      <c r="N233">
        <v>3.9</v>
      </c>
      <c r="O233" s="3">
        <f t="shared" si="18"/>
        <v>3.9</v>
      </c>
      <c r="P233">
        <v>1</v>
      </c>
      <c r="Q233" t="str" cm="1">
        <f t="array" ref="Q233">_xlfn.IFS(ISBLANK(P233),"Not Specified",OR(P233="N",P233=FALSE,P233="no",P233=0),"no",TRUE,"yes")</f>
        <v>yes</v>
      </c>
      <c r="R233" s="5">
        <v>0.82</v>
      </c>
      <c r="S233">
        <f t="shared" si="19"/>
        <v>82</v>
      </c>
    </row>
    <row r="234" spans="1:19">
      <c r="A234" t="s">
        <v>555</v>
      </c>
      <c r="B234" t="s">
        <v>556</v>
      </c>
      <c r="C234" t="s">
        <v>55</v>
      </c>
      <c r="D234" t="str" cm="1">
        <f t="array" ref="D234">_xlfn.IFS(OR(LOWER(C234)="f",LOWER(C234)="female"),"Female",TRUE,"Male")</f>
        <v>Male</v>
      </c>
      <c r="E234">
        <v>20</v>
      </c>
      <c r="F234">
        <f t="shared" si="15"/>
        <v>20</v>
      </c>
      <c r="G234" t="s">
        <v>142</v>
      </c>
      <c r="H234" t="s">
        <v>143</v>
      </c>
      <c r="I234" t="s">
        <v>58</v>
      </c>
      <c r="J234">
        <v>1</v>
      </c>
      <c r="K234">
        <f t="shared" si="16"/>
        <v>1</v>
      </c>
      <c r="L234">
        <v>50</v>
      </c>
      <c r="M234" t="str">
        <f t="shared" si="17"/>
        <v>50</v>
      </c>
      <c r="N234">
        <v>3.1</v>
      </c>
      <c r="O234" s="3">
        <f t="shared" si="18"/>
        <v>3.1</v>
      </c>
      <c r="Q234" t="str" cm="1">
        <f t="array" ref="Q234">_xlfn.IFS(ISBLANK(P234),"Not Specified",OR(P234="N",P234=FALSE,P234="no",P234=0),"no",TRUE,"yes")</f>
        <v>Not Specified</v>
      </c>
      <c r="R234" s="5">
        <v>0.71</v>
      </c>
      <c r="S234">
        <f t="shared" si="19"/>
        <v>71</v>
      </c>
    </row>
    <row r="235" spans="1:19">
      <c r="A235" t="s">
        <v>557</v>
      </c>
      <c r="B235" t="s">
        <v>558</v>
      </c>
      <c r="C235" t="s">
        <v>55</v>
      </c>
      <c r="D235" t="str" cm="1">
        <f t="array" ref="D235">_xlfn.IFS(OR(LOWER(C235)="f",LOWER(C235)="female"),"Female",TRUE,"Male")</f>
        <v>Male</v>
      </c>
      <c r="E235">
        <v>22</v>
      </c>
      <c r="F235">
        <f t="shared" si="15"/>
        <v>22</v>
      </c>
      <c r="G235" t="s">
        <v>186</v>
      </c>
      <c r="H235" t="s">
        <v>79</v>
      </c>
      <c r="I235" t="s">
        <v>80</v>
      </c>
      <c r="J235">
        <v>2</v>
      </c>
      <c r="K235">
        <f t="shared" si="16"/>
        <v>2</v>
      </c>
      <c r="M235" t="str">
        <f t="shared" si="17"/>
        <v>Not Specified</v>
      </c>
      <c r="N235">
        <v>0</v>
      </c>
      <c r="O235" s="3" t="str">
        <f t="shared" si="18"/>
        <v>Not Specified</v>
      </c>
      <c r="P235">
        <v>1</v>
      </c>
      <c r="Q235" t="str" cm="1">
        <f t="array" ref="Q235">_xlfn.IFS(ISBLANK(P235),"Not Specified",OR(P235="N",P235=FALSE,P235="no",P235=0),"no",TRUE,"yes")</f>
        <v>yes</v>
      </c>
      <c r="S235" t="str">
        <f t="shared" si="19"/>
        <v>Not Specified</v>
      </c>
    </row>
    <row r="236" spans="1:19">
      <c r="A236" t="s">
        <v>559</v>
      </c>
      <c r="B236" t="s">
        <v>560</v>
      </c>
      <c r="C236" t="s">
        <v>21</v>
      </c>
      <c r="D236" t="str" cm="1">
        <f t="array" ref="D236">_xlfn.IFS(OR(LOWER(C236)="f",LOWER(C236)="female"),"Female",TRUE,"Male")</f>
        <v>Female</v>
      </c>
      <c r="E236">
        <v>23</v>
      </c>
      <c r="F236">
        <f t="shared" si="15"/>
        <v>23</v>
      </c>
      <c r="G236" t="s">
        <v>119</v>
      </c>
      <c r="H236" t="s">
        <v>120</v>
      </c>
      <c r="I236" t="s">
        <v>37</v>
      </c>
      <c r="J236">
        <v>2</v>
      </c>
      <c r="K236">
        <f t="shared" si="16"/>
        <v>2</v>
      </c>
      <c r="L236">
        <v>50</v>
      </c>
      <c r="M236" t="str">
        <f t="shared" si="17"/>
        <v>50</v>
      </c>
      <c r="N236">
        <v>3.2</v>
      </c>
      <c r="O236" s="3">
        <f t="shared" si="18"/>
        <v>3.2</v>
      </c>
      <c r="P236" t="b">
        <v>1</v>
      </c>
      <c r="Q236" t="str" cm="1">
        <f t="array" ref="Q236">_xlfn.IFS(ISBLANK(P236),"Not Specified",OR(P236="N",P236=FALSE,P236="no",P236=0),"no",TRUE,"yes")</f>
        <v>yes</v>
      </c>
      <c r="S236" t="str">
        <f t="shared" si="19"/>
        <v>Not Specified</v>
      </c>
    </row>
    <row r="237" spans="1:19">
      <c r="A237" t="s">
        <v>561</v>
      </c>
      <c r="B237" t="s">
        <v>562</v>
      </c>
      <c r="C237" t="s">
        <v>41</v>
      </c>
      <c r="D237" t="str" cm="1">
        <f t="array" ref="D237">_xlfn.IFS(OR(LOWER(C237)="f",LOWER(C237)="female"),"Female",TRUE,"Male")</f>
        <v>Female</v>
      </c>
      <c r="E237">
        <v>53</v>
      </c>
      <c r="F237">
        <f t="shared" si="15"/>
        <v>53</v>
      </c>
      <c r="G237" t="s">
        <v>119</v>
      </c>
      <c r="H237" t="s">
        <v>120</v>
      </c>
      <c r="I237" t="s">
        <v>24</v>
      </c>
      <c r="J237">
        <v>34</v>
      </c>
      <c r="K237">
        <f t="shared" si="16"/>
        <v>34</v>
      </c>
      <c r="L237">
        <v>30</v>
      </c>
      <c r="M237" t="str">
        <f t="shared" si="17"/>
        <v>30</v>
      </c>
      <c r="O237" s="3" t="str">
        <f t="shared" si="18"/>
        <v>Not Specified</v>
      </c>
      <c r="P237" t="s">
        <v>81</v>
      </c>
      <c r="Q237" t="str" cm="1">
        <f t="array" ref="Q237">_xlfn.IFS(ISBLANK(P237),"Not Specified",OR(P237="N",P237=FALSE,P237="no",P237=0),"no",TRUE,"yes")</f>
        <v>yes</v>
      </c>
      <c r="S237" t="str">
        <f t="shared" si="19"/>
        <v>Not Specified</v>
      </c>
    </row>
    <row r="238" spans="1:19">
      <c r="A238" t="s">
        <v>563</v>
      </c>
      <c r="B238" t="s">
        <v>564</v>
      </c>
      <c r="C238" t="s">
        <v>41</v>
      </c>
      <c r="D238" t="str" cm="1">
        <f t="array" ref="D238">_xlfn.IFS(OR(LOWER(C238)="f",LOWER(C238)="female"),"Female",TRUE,"Male")</f>
        <v>Female</v>
      </c>
      <c r="E238">
        <v>56</v>
      </c>
      <c r="F238">
        <f t="shared" si="15"/>
        <v>56</v>
      </c>
      <c r="G238" t="s">
        <v>119</v>
      </c>
      <c r="H238" t="s">
        <v>120</v>
      </c>
      <c r="I238" t="s">
        <v>37</v>
      </c>
      <c r="J238">
        <v>27</v>
      </c>
      <c r="K238">
        <f t="shared" si="16"/>
        <v>27</v>
      </c>
      <c r="L238">
        <v>100</v>
      </c>
      <c r="M238" t="str">
        <f t="shared" si="17"/>
        <v>100</v>
      </c>
      <c r="N238">
        <v>4.7</v>
      </c>
      <c r="O238" s="3">
        <f t="shared" si="18"/>
        <v>4.7</v>
      </c>
      <c r="P238" t="b">
        <v>1</v>
      </c>
      <c r="Q238" t="str" cm="1">
        <f t="array" ref="Q238">_xlfn.IFS(ISBLANK(P238),"Not Specified",OR(P238="N",P238=FALSE,P238="no",P238=0),"no",TRUE,"yes")</f>
        <v>yes</v>
      </c>
      <c r="R238" s="5">
        <v>0.69</v>
      </c>
      <c r="S238">
        <f t="shared" si="19"/>
        <v>69</v>
      </c>
    </row>
    <row r="239" spans="1:19">
      <c r="A239" t="s">
        <v>565</v>
      </c>
      <c r="B239" t="s">
        <v>566</v>
      </c>
      <c r="C239" t="s">
        <v>99</v>
      </c>
      <c r="D239" t="str" cm="1">
        <f t="array" ref="D239">_xlfn.IFS(OR(LOWER(C239)="f",LOWER(C239)="female"),"Female",TRUE,"Male")</f>
        <v>Male</v>
      </c>
      <c r="E239">
        <v>27</v>
      </c>
      <c r="F239">
        <f t="shared" si="15"/>
        <v>27</v>
      </c>
      <c r="G239" t="s">
        <v>135</v>
      </c>
      <c r="H239" t="s">
        <v>29</v>
      </c>
      <c r="I239" t="s">
        <v>51</v>
      </c>
      <c r="J239">
        <v>4</v>
      </c>
      <c r="K239">
        <f t="shared" si="16"/>
        <v>4</v>
      </c>
      <c r="L239">
        <v>75</v>
      </c>
      <c r="M239" t="str">
        <f t="shared" si="17"/>
        <v>75</v>
      </c>
      <c r="N239">
        <v>5</v>
      </c>
      <c r="O239" s="3">
        <f t="shared" si="18"/>
        <v>5</v>
      </c>
      <c r="P239">
        <v>0</v>
      </c>
      <c r="Q239" t="str" cm="1">
        <f t="array" ref="Q239">_xlfn.IFS(ISBLANK(P239),"Not Specified",OR(P239="N",P239=FALSE,P239="no",P239=0),"no",TRUE,"yes")</f>
        <v>no</v>
      </c>
      <c r="R239" s="5">
        <v>0.88</v>
      </c>
      <c r="S239">
        <f t="shared" si="19"/>
        <v>88</v>
      </c>
    </row>
    <row r="240" spans="1:19">
      <c r="A240" t="s">
        <v>567</v>
      </c>
      <c r="B240" t="s">
        <v>568</v>
      </c>
      <c r="C240" t="s">
        <v>104</v>
      </c>
      <c r="D240" t="str" cm="1">
        <f t="array" ref="D240">_xlfn.IFS(OR(LOWER(C240)="f",LOWER(C240)="female"),"Female",TRUE,"Male")</f>
        <v>Male</v>
      </c>
      <c r="E240">
        <v>34</v>
      </c>
      <c r="F240">
        <f t="shared" si="15"/>
        <v>34</v>
      </c>
      <c r="G240" t="s">
        <v>22</v>
      </c>
      <c r="H240" t="s">
        <v>23</v>
      </c>
      <c r="I240" t="s">
        <v>30</v>
      </c>
      <c r="J240">
        <v>11</v>
      </c>
      <c r="K240">
        <f t="shared" si="16"/>
        <v>11</v>
      </c>
      <c r="L240" t="s">
        <v>62</v>
      </c>
      <c r="M240" t="str">
        <f t="shared" si="17"/>
        <v> 40</v>
      </c>
      <c r="O240" s="3" t="str">
        <f t="shared" si="18"/>
        <v>Not Specified</v>
      </c>
      <c r="P240" t="b">
        <v>0</v>
      </c>
      <c r="Q240" t="str" cm="1">
        <f t="array" ref="Q240">_xlfn.IFS(ISBLANK(P240),"Not Specified",OR(P240="N",P240=FALSE,P240="no",P240=0),"no",TRUE,"yes")</f>
        <v>no</v>
      </c>
      <c r="R240" s="5">
        <v>0.67</v>
      </c>
      <c r="S240">
        <f t="shared" si="19"/>
        <v>67</v>
      </c>
    </row>
    <row r="241" spans="1:19">
      <c r="A241" t="s">
        <v>569</v>
      </c>
      <c r="B241" t="s">
        <v>570</v>
      </c>
      <c r="C241" t="s">
        <v>99</v>
      </c>
      <c r="D241" t="str" cm="1">
        <f t="array" ref="D241">_xlfn.IFS(OR(LOWER(C241)="f",LOWER(C241)="female"),"Female",TRUE,"Male")</f>
        <v>Male</v>
      </c>
      <c r="E241">
        <v>29</v>
      </c>
      <c r="F241">
        <f t="shared" si="15"/>
        <v>29</v>
      </c>
      <c r="G241" t="s">
        <v>65</v>
      </c>
      <c r="H241" t="s">
        <v>29</v>
      </c>
      <c r="I241" t="s">
        <v>42</v>
      </c>
      <c r="J241">
        <v>4</v>
      </c>
      <c r="K241">
        <f t="shared" si="16"/>
        <v>4</v>
      </c>
      <c r="L241" t="s">
        <v>105</v>
      </c>
      <c r="M241" t="str">
        <f t="shared" si="17"/>
        <v> 50</v>
      </c>
      <c r="N241">
        <v>4</v>
      </c>
      <c r="O241" s="3">
        <f t="shared" si="18"/>
        <v>4</v>
      </c>
      <c r="P241">
        <v>0</v>
      </c>
      <c r="Q241" t="str" cm="1">
        <f t="array" ref="Q241">_xlfn.IFS(ISBLANK(P241),"Not Specified",OR(P241="N",P241=FALSE,P241="no",P241=0),"no",TRUE,"yes")</f>
        <v>no</v>
      </c>
      <c r="S241" t="str">
        <f t="shared" si="19"/>
        <v>Not Specified</v>
      </c>
    </row>
    <row r="242" spans="1:19">
      <c r="A242" t="s">
        <v>571</v>
      </c>
      <c r="B242" t="s">
        <v>572</v>
      </c>
      <c r="C242" t="s">
        <v>99</v>
      </c>
      <c r="D242" t="str" cm="1">
        <f t="array" ref="D242">_xlfn.IFS(OR(LOWER(C242)="f",LOWER(C242)="female"),"Female",TRUE,"Male")</f>
        <v>Male</v>
      </c>
      <c r="E242">
        <v>34</v>
      </c>
      <c r="F242">
        <f t="shared" si="15"/>
        <v>34</v>
      </c>
      <c r="G242" t="s">
        <v>100</v>
      </c>
      <c r="H242" t="s">
        <v>101</v>
      </c>
      <c r="I242" t="s">
        <v>51</v>
      </c>
      <c r="J242">
        <v>11</v>
      </c>
      <c r="K242">
        <f t="shared" si="16"/>
        <v>11</v>
      </c>
      <c r="M242" t="str">
        <f t="shared" si="17"/>
        <v>Not Specified</v>
      </c>
      <c r="N242">
        <v>1.2</v>
      </c>
      <c r="O242" s="3">
        <f t="shared" si="18"/>
        <v>1.2</v>
      </c>
      <c r="P242">
        <v>1</v>
      </c>
      <c r="Q242" t="str" cm="1">
        <f t="array" ref="Q242">_xlfn.IFS(ISBLANK(P242),"Not Specified",OR(P242="N",P242=FALSE,P242="no",P242=0),"no",TRUE,"yes")</f>
        <v>yes</v>
      </c>
      <c r="S242" t="str">
        <f t="shared" si="19"/>
        <v>Not Specified</v>
      </c>
    </row>
    <row r="243" spans="1:19">
      <c r="A243" t="s">
        <v>573</v>
      </c>
      <c r="B243" t="s">
        <v>574</v>
      </c>
      <c r="C243" t="s">
        <v>46</v>
      </c>
      <c r="D243" t="str" cm="1">
        <f t="array" ref="D243">_xlfn.IFS(OR(LOWER(C243)="f",LOWER(C243)="female"),"Female",TRUE,"Male")</f>
        <v>Female</v>
      </c>
      <c r="E243">
        <v>32</v>
      </c>
      <c r="F243">
        <f t="shared" si="15"/>
        <v>32</v>
      </c>
      <c r="G243" t="s">
        <v>186</v>
      </c>
      <c r="H243" t="s">
        <v>79</v>
      </c>
      <c r="I243" t="s">
        <v>51</v>
      </c>
      <c r="J243">
        <v>1</v>
      </c>
      <c r="K243">
        <f t="shared" si="16"/>
        <v>1</v>
      </c>
      <c r="L243">
        <v>100</v>
      </c>
      <c r="M243" t="str">
        <f t="shared" si="17"/>
        <v>100</v>
      </c>
      <c r="N243">
        <v>4.7</v>
      </c>
      <c r="O243" s="3">
        <f t="shared" si="18"/>
        <v>4.7</v>
      </c>
      <c r="P243">
        <v>0</v>
      </c>
      <c r="Q243" t="str" cm="1">
        <f t="array" ref="Q243">_xlfn.IFS(ISBLANK(P243),"Not Specified",OR(P243="N",P243=FALSE,P243="no",P243=0),"no",TRUE,"yes")</f>
        <v>no</v>
      </c>
      <c r="R243" s="5">
        <v>0.67</v>
      </c>
      <c r="S243">
        <f t="shared" si="19"/>
        <v>67</v>
      </c>
    </row>
    <row r="244" spans="1:19">
      <c r="A244" t="s">
        <v>575</v>
      </c>
      <c r="B244" t="s">
        <v>576</v>
      </c>
      <c r="C244" t="s">
        <v>21</v>
      </c>
      <c r="D244" t="str" cm="1">
        <f t="array" ref="D244">_xlfn.IFS(OR(LOWER(C244)="f",LOWER(C244)="female"),"Female",TRUE,"Male")</f>
        <v>Female</v>
      </c>
      <c r="E244">
        <v>21</v>
      </c>
      <c r="F244">
        <f t="shared" si="15"/>
        <v>21</v>
      </c>
      <c r="G244" t="s">
        <v>160</v>
      </c>
      <c r="H244" t="s">
        <v>161</v>
      </c>
      <c r="I244" t="s">
        <v>121</v>
      </c>
      <c r="J244">
        <v>2</v>
      </c>
      <c r="K244">
        <f t="shared" si="16"/>
        <v>2</v>
      </c>
      <c r="L244">
        <v>20</v>
      </c>
      <c r="M244" t="str">
        <f t="shared" si="17"/>
        <v>20</v>
      </c>
      <c r="N244">
        <v>2.4</v>
      </c>
      <c r="O244" s="3">
        <f t="shared" si="18"/>
        <v>2.4</v>
      </c>
      <c r="Q244" t="str" cm="1">
        <f t="array" ref="Q244">_xlfn.IFS(ISBLANK(P244),"Not Specified",OR(P244="N",P244=FALSE,P244="no",P244=0),"no",TRUE,"yes")</f>
        <v>Not Specified</v>
      </c>
      <c r="R244" s="5">
        <v>0.86</v>
      </c>
      <c r="S244">
        <f t="shared" si="19"/>
        <v>86</v>
      </c>
    </row>
    <row r="245" spans="1:19">
      <c r="A245" t="s">
        <v>577</v>
      </c>
      <c r="B245" t="s">
        <v>578</v>
      </c>
      <c r="C245" t="s">
        <v>68</v>
      </c>
      <c r="D245" t="str" cm="1">
        <f t="array" ref="D245">_xlfn.IFS(OR(LOWER(C245)="f",LOWER(C245)="female"),"Female",TRUE,"Male")</f>
        <v>Male</v>
      </c>
      <c r="E245">
        <v>20</v>
      </c>
      <c r="F245">
        <f t="shared" si="15"/>
        <v>20</v>
      </c>
      <c r="G245" t="s">
        <v>186</v>
      </c>
      <c r="H245" t="s">
        <v>79</v>
      </c>
      <c r="I245" t="s">
        <v>37</v>
      </c>
      <c r="J245">
        <v>2</v>
      </c>
      <c r="K245">
        <f t="shared" si="16"/>
        <v>2</v>
      </c>
      <c r="M245" t="str">
        <f t="shared" si="17"/>
        <v>Not Specified</v>
      </c>
      <c r="N245">
        <v>1.1</v>
      </c>
      <c r="O245" s="3">
        <f t="shared" si="18"/>
        <v>1.1</v>
      </c>
      <c r="P245" t="b">
        <v>0</v>
      </c>
      <c r="Q245" t="str" cm="1">
        <f t="array" ref="Q245">_xlfn.IFS(ISBLANK(P245),"Not Specified",OR(P245="N",P245=FALSE,P245="no",P245=0),"no",TRUE,"yes")</f>
        <v>no</v>
      </c>
      <c r="R245" s="5">
        <v>0.69</v>
      </c>
      <c r="S245">
        <f t="shared" si="19"/>
        <v>69</v>
      </c>
    </row>
    <row r="246" spans="1:19">
      <c r="A246" t="s">
        <v>579</v>
      </c>
      <c r="B246" t="s">
        <v>580</v>
      </c>
      <c r="C246" t="s">
        <v>27</v>
      </c>
      <c r="D246" t="str" cm="1">
        <f t="array" ref="D246">_xlfn.IFS(OR(LOWER(C246)="f",LOWER(C246)="female"),"Female",TRUE,"Male")</f>
        <v>Female</v>
      </c>
      <c r="E246">
        <v>35</v>
      </c>
      <c r="F246">
        <f t="shared" si="15"/>
        <v>35</v>
      </c>
      <c r="G246" t="s">
        <v>65</v>
      </c>
      <c r="H246" t="s">
        <v>29</v>
      </c>
      <c r="I246" t="s">
        <v>30</v>
      </c>
      <c r="J246">
        <v>10</v>
      </c>
      <c r="K246">
        <f t="shared" si="16"/>
        <v>10</v>
      </c>
      <c r="L246">
        <v>50</v>
      </c>
      <c r="M246" t="str">
        <f t="shared" si="17"/>
        <v>50</v>
      </c>
      <c r="N246">
        <v>1.4</v>
      </c>
      <c r="O246" s="3">
        <f t="shared" si="18"/>
        <v>1.4</v>
      </c>
      <c r="P246" t="b">
        <v>1</v>
      </c>
      <c r="Q246" t="str" cm="1">
        <f t="array" ref="Q246">_xlfn.IFS(ISBLANK(P246),"Not Specified",OR(P246="N",P246=FALSE,P246="no",P246=0),"no",TRUE,"yes")</f>
        <v>yes</v>
      </c>
      <c r="R246" s="5">
        <v>0.85</v>
      </c>
      <c r="S246">
        <f t="shared" si="19"/>
        <v>85</v>
      </c>
    </row>
    <row r="247" spans="1:19">
      <c r="A247" t="s">
        <v>581</v>
      </c>
      <c r="B247" t="s">
        <v>582</v>
      </c>
      <c r="C247" t="s">
        <v>21</v>
      </c>
      <c r="D247" t="str" cm="1">
        <f t="array" ref="D247">_xlfn.IFS(OR(LOWER(C247)="f",LOWER(C247)="female"),"Female",TRUE,"Male")</f>
        <v>Female</v>
      </c>
      <c r="E247">
        <v>47</v>
      </c>
      <c r="F247">
        <f t="shared" si="15"/>
        <v>47</v>
      </c>
      <c r="G247" t="s">
        <v>65</v>
      </c>
      <c r="H247" t="s">
        <v>29</v>
      </c>
      <c r="I247" t="s">
        <v>80</v>
      </c>
      <c r="J247">
        <v>18</v>
      </c>
      <c r="K247">
        <f t="shared" si="16"/>
        <v>18</v>
      </c>
      <c r="L247">
        <v>40</v>
      </c>
      <c r="M247" t="str">
        <f t="shared" si="17"/>
        <v>40</v>
      </c>
      <c r="N247">
        <v>3.4</v>
      </c>
      <c r="O247" s="3">
        <f t="shared" si="18"/>
        <v>3.4</v>
      </c>
      <c r="P247">
        <v>0</v>
      </c>
      <c r="Q247" t="str" cm="1">
        <f t="array" ref="Q247">_xlfn.IFS(ISBLANK(P247),"Not Specified",OR(P247="N",P247=FALSE,P247="no",P247=0),"no",TRUE,"yes")</f>
        <v>no</v>
      </c>
      <c r="R247">
        <v>60</v>
      </c>
      <c r="S247">
        <f t="shared" si="19"/>
        <v>60</v>
      </c>
    </row>
    <row r="248" spans="1:19">
      <c r="A248" t="s">
        <v>583</v>
      </c>
      <c r="B248" t="s">
        <v>584</v>
      </c>
      <c r="C248" t="s">
        <v>21</v>
      </c>
      <c r="D248" t="str" cm="1">
        <f t="array" ref="D248">_xlfn.IFS(OR(LOWER(C248)="f",LOWER(C248)="female"),"Female",TRUE,"Male")</f>
        <v>Female</v>
      </c>
      <c r="E248">
        <v>41</v>
      </c>
      <c r="F248">
        <f t="shared" si="15"/>
        <v>41</v>
      </c>
      <c r="G248" t="s">
        <v>69</v>
      </c>
      <c r="H248" t="s">
        <v>70</v>
      </c>
      <c r="I248" t="s">
        <v>24</v>
      </c>
      <c r="J248">
        <v>4</v>
      </c>
      <c r="K248">
        <f t="shared" si="16"/>
        <v>4</v>
      </c>
      <c r="L248">
        <v>40</v>
      </c>
      <c r="M248" t="str">
        <f t="shared" si="17"/>
        <v>40</v>
      </c>
      <c r="N248">
        <v>2.7</v>
      </c>
      <c r="O248" s="3">
        <f t="shared" si="18"/>
        <v>2.7</v>
      </c>
      <c r="P248">
        <v>1</v>
      </c>
      <c r="Q248" t="str" cm="1">
        <f t="array" ref="Q248">_xlfn.IFS(ISBLANK(P248),"Not Specified",OR(P248="N",P248=FALSE,P248="no",P248=0),"no",TRUE,"yes")</f>
        <v>yes</v>
      </c>
      <c r="R248">
        <v>70</v>
      </c>
      <c r="S248">
        <f t="shared" si="19"/>
        <v>70</v>
      </c>
    </row>
    <row r="249" spans="1:19">
      <c r="A249" t="s">
        <v>585</v>
      </c>
      <c r="B249" t="s">
        <v>586</v>
      </c>
      <c r="C249" t="s">
        <v>34</v>
      </c>
      <c r="D249" t="str" cm="1">
        <f t="array" ref="D249">_xlfn.IFS(OR(LOWER(C249)="f",LOWER(C249)="female"),"Female",TRUE,"Male")</f>
        <v>Male</v>
      </c>
      <c r="E249">
        <v>58</v>
      </c>
      <c r="F249">
        <f t="shared" si="15"/>
        <v>58</v>
      </c>
      <c r="G249" t="s">
        <v>78</v>
      </c>
      <c r="H249" t="s">
        <v>79</v>
      </c>
      <c r="I249" t="s">
        <v>42</v>
      </c>
      <c r="J249">
        <v>23</v>
      </c>
      <c r="K249">
        <f t="shared" si="16"/>
        <v>23</v>
      </c>
      <c r="M249" t="str">
        <f t="shared" si="17"/>
        <v>Not Specified</v>
      </c>
      <c r="N249">
        <v>4.9</v>
      </c>
      <c r="O249" s="3">
        <f t="shared" si="18"/>
        <v>4.9</v>
      </c>
      <c r="P249" t="b">
        <v>0</v>
      </c>
      <c r="Q249" t="str" cm="1">
        <f t="array" ref="Q249">_xlfn.IFS(ISBLANK(P249),"Not Specified",OR(P249="N",P249=FALSE,P249="no",P249=0),"no",TRUE,"yes")</f>
        <v>no</v>
      </c>
      <c r="S249" t="str">
        <f t="shared" si="19"/>
        <v>Not Specified</v>
      </c>
    </row>
    <row r="250" spans="1:19">
      <c r="A250" t="s">
        <v>587</v>
      </c>
      <c r="B250" t="s">
        <v>588</v>
      </c>
      <c r="C250" t="s">
        <v>55</v>
      </c>
      <c r="D250" t="str" cm="1">
        <f t="array" ref="D250">_xlfn.IFS(OR(LOWER(C250)="f",LOWER(C250)="female"),"Female",TRUE,"Male")</f>
        <v>Male</v>
      </c>
      <c r="E250">
        <v>34</v>
      </c>
      <c r="F250">
        <f t="shared" si="15"/>
        <v>34</v>
      </c>
      <c r="G250" t="s">
        <v>182</v>
      </c>
      <c r="H250" t="s">
        <v>183</v>
      </c>
      <c r="I250" t="s">
        <v>58</v>
      </c>
      <c r="J250">
        <v>6</v>
      </c>
      <c r="K250">
        <f t="shared" si="16"/>
        <v>6</v>
      </c>
      <c r="L250">
        <v>75</v>
      </c>
      <c r="M250" t="str">
        <f t="shared" si="17"/>
        <v>75</v>
      </c>
      <c r="N250">
        <v>1.9</v>
      </c>
      <c r="O250" s="3">
        <f t="shared" si="18"/>
        <v>1.9</v>
      </c>
      <c r="P250">
        <v>1</v>
      </c>
      <c r="Q250" t="str" cm="1">
        <f t="array" ref="Q250">_xlfn.IFS(ISBLANK(P250),"Not Specified",OR(P250="N",P250=FALSE,P250="no",P250=0),"no",TRUE,"yes")</f>
        <v>yes</v>
      </c>
      <c r="R250" s="5">
        <v>0.81</v>
      </c>
      <c r="S250">
        <f t="shared" si="19"/>
        <v>81</v>
      </c>
    </row>
    <row r="251" spans="1:19">
      <c r="A251" t="s">
        <v>589</v>
      </c>
      <c r="B251" t="s">
        <v>590</v>
      </c>
      <c r="C251" t="s">
        <v>21</v>
      </c>
      <c r="D251" t="str" cm="1">
        <f t="array" ref="D251">_xlfn.IFS(OR(LOWER(C251)="f",LOWER(C251)="female"),"Female",TRUE,"Male")</f>
        <v>Female</v>
      </c>
      <c r="E251">
        <v>50</v>
      </c>
      <c r="F251">
        <f t="shared" si="15"/>
        <v>50</v>
      </c>
      <c r="G251" t="s">
        <v>100</v>
      </c>
      <c r="H251" t="s">
        <v>101</v>
      </c>
      <c r="I251" t="s">
        <v>30</v>
      </c>
      <c r="J251">
        <v>5</v>
      </c>
      <c r="K251">
        <f t="shared" si="16"/>
        <v>5</v>
      </c>
      <c r="L251">
        <v>100</v>
      </c>
      <c r="M251" t="str">
        <f t="shared" si="17"/>
        <v>100</v>
      </c>
      <c r="O251" s="3" t="str">
        <f t="shared" si="18"/>
        <v>Not Specified</v>
      </c>
      <c r="P251">
        <v>1</v>
      </c>
      <c r="Q251" t="str" cm="1">
        <f t="array" ref="Q251">_xlfn.IFS(ISBLANK(P251),"Not Specified",OR(P251="N",P251=FALSE,P251="no",P251=0),"no",TRUE,"yes")</f>
        <v>yes</v>
      </c>
      <c r="S251" t="str">
        <f t="shared" si="19"/>
        <v>Not Specified</v>
      </c>
    </row>
    <row r="252" spans="1:19">
      <c r="A252" t="s">
        <v>591</v>
      </c>
      <c r="B252" t="s">
        <v>592</v>
      </c>
      <c r="C252" t="s">
        <v>21</v>
      </c>
      <c r="D252" t="str" cm="1">
        <f t="array" ref="D252">_xlfn.IFS(OR(LOWER(C252)="f",LOWER(C252)="female"),"Female",TRUE,"Male")</f>
        <v>Female</v>
      </c>
      <c r="E252">
        <v>42</v>
      </c>
      <c r="F252">
        <f t="shared" si="15"/>
        <v>42</v>
      </c>
      <c r="G252" t="s">
        <v>186</v>
      </c>
      <c r="H252" t="s">
        <v>79</v>
      </c>
      <c r="I252" t="s">
        <v>96</v>
      </c>
      <c r="J252">
        <v>19</v>
      </c>
      <c r="K252">
        <f t="shared" si="16"/>
        <v>19</v>
      </c>
      <c r="L252" t="s">
        <v>59</v>
      </c>
      <c r="M252" t="str">
        <f t="shared" si="17"/>
        <v> 75</v>
      </c>
      <c r="N252">
        <v>4.6</v>
      </c>
      <c r="O252" s="3">
        <f t="shared" si="18"/>
        <v>4.6</v>
      </c>
      <c r="P252">
        <v>0</v>
      </c>
      <c r="Q252" t="str" cm="1">
        <f t="array" ref="Q252">_xlfn.IFS(ISBLANK(P252),"Not Specified",OR(P252="N",P252=FALSE,P252="no",P252=0),"no",TRUE,"yes")</f>
        <v>no</v>
      </c>
      <c r="R252" s="5">
        <v>0.78</v>
      </c>
      <c r="S252">
        <f t="shared" si="19"/>
        <v>78</v>
      </c>
    </row>
    <row r="253" spans="1:19">
      <c r="A253" t="s">
        <v>593</v>
      </c>
      <c r="B253" t="s">
        <v>594</v>
      </c>
      <c r="C253" t="s">
        <v>99</v>
      </c>
      <c r="D253" t="str" cm="1">
        <f t="array" ref="D253">_xlfn.IFS(OR(LOWER(C253)="f",LOWER(C253)="female"),"Female",TRUE,"Male")</f>
        <v>Male</v>
      </c>
      <c r="E253">
        <v>43</v>
      </c>
      <c r="F253">
        <f t="shared" si="15"/>
        <v>43</v>
      </c>
      <c r="G253" t="s">
        <v>35</v>
      </c>
      <c r="H253" t="s">
        <v>36</v>
      </c>
      <c r="I253" t="s">
        <v>80</v>
      </c>
      <c r="J253">
        <v>6</v>
      </c>
      <c r="K253">
        <f t="shared" si="16"/>
        <v>6</v>
      </c>
      <c r="L253">
        <v>50</v>
      </c>
      <c r="M253" t="str">
        <f t="shared" si="17"/>
        <v>50</v>
      </c>
      <c r="N253">
        <v>0</v>
      </c>
      <c r="O253" s="3" t="str">
        <f t="shared" si="18"/>
        <v>Not Specified</v>
      </c>
      <c r="P253">
        <v>0</v>
      </c>
      <c r="Q253" t="str" cm="1">
        <f t="array" ref="Q253">_xlfn.IFS(ISBLANK(P253),"Not Specified",OR(P253="N",P253=FALSE,P253="no",P253=0),"no",TRUE,"yes")</f>
        <v>no</v>
      </c>
      <c r="R253">
        <v>81</v>
      </c>
      <c r="S253">
        <f t="shared" si="19"/>
        <v>81</v>
      </c>
    </row>
    <row r="254" spans="1:19">
      <c r="A254" t="s">
        <v>595</v>
      </c>
      <c r="B254" t="s">
        <v>596</v>
      </c>
      <c r="C254" t="s">
        <v>104</v>
      </c>
      <c r="D254" t="str" cm="1">
        <f t="array" ref="D254">_xlfn.IFS(OR(LOWER(C254)="f",LOWER(C254)="female"),"Female",TRUE,"Male")</f>
        <v>Male</v>
      </c>
      <c r="E254">
        <v>34</v>
      </c>
      <c r="F254">
        <f t="shared" si="15"/>
        <v>34</v>
      </c>
      <c r="G254" t="s">
        <v>35</v>
      </c>
      <c r="H254" t="s">
        <v>36</v>
      </c>
      <c r="I254" t="s">
        <v>58</v>
      </c>
      <c r="J254">
        <v>8</v>
      </c>
      <c r="K254">
        <f t="shared" si="16"/>
        <v>8</v>
      </c>
      <c r="L254">
        <v>75</v>
      </c>
      <c r="M254" t="str">
        <f t="shared" si="17"/>
        <v>75</v>
      </c>
      <c r="N254">
        <v>1.8</v>
      </c>
      <c r="O254" s="3">
        <f t="shared" si="18"/>
        <v>1.8</v>
      </c>
      <c r="P254">
        <v>1</v>
      </c>
      <c r="Q254" t="str" cm="1">
        <f t="array" ref="Q254">_xlfn.IFS(ISBLANK(P254),"Not Specified",OR(P254="N",P254=FALSE,P254="no",P254=0),"no",TRUE,"yes")</f>
        <v>yes</v>
      </c>
      <c r="R254" s="5">
        <v>0.71</v>
      </c>
      <c r="S254">
        <f t="shared" si="19"/>
        <v>71</v>
      </c>
    </row>
    <row r="255" spans="1:19">
      <c r="A255" t="s">
        <v>597</v>
      </c>
      <c r="B255" t="s">
        <v>598</v>
      </c>
      <c r="C255" t="s">
        <v>104</v>
      </c>
      <c r="D255" t="str" cm="1">
        <f t="array" ref="D255">_xlfn.IFS(OR(LOWER(C255)="f",LOWER(C255)="female"),"Female",TRUE,"Male")</f>
        <v>Male</v>
      </c>
      <c r="E255">
        <v>24</v>
      </c>
      <c r="F255">
        <f t="shared" si="15"/>
        <v>24</v>
      </c>
      <c r="G255" t="s">
        <v>197</v>
      </c>
      <c r="H255" t="s">
        <v>79</v>
      </c>
      <c r="I255" t="s">
        <v>30</v>
      </c>
      <c r="J255">
        <v>3</v>
      </c>
      <c r="K255">
        <f t="shared" si="16"/>
        <v>3</v>
      </c>
      <c r="L255">
        <v>75</v>
      </c>
      <c r="M255" t="str">
        <f t="shared" si="17"/>
        <v>75</v>
      </c>
      <c r="N255">
        <v>2</v>
      </c>
      <c r="O255" s="3">
        <f t="shared" si="18"/>
        <v>2</v>
      </c>
      <c r="P255" t="b">
        <v>0</v>
      </c>
      <c r="Q255" t="str" cm="1">
        <f t="array" ref="Q255">_xlfn.IFS(ISBLANK(P255),"Not Specified",OR(P255="N",P255=FALSE,P255="no",P255=0),"no",TRUE,"yes")</f>
        <v>no</v>
      </c>
      <c r="S255" t="str">
        <f t="shared" si="19"/>
        <v>Not Specified</v>
      </c>
    </row>
    <row r="256" spans="1:19">
      <c r="A256" t="s">
        <v>599</v>
      </c>
      <c r="B256" t="s">
        <v>600</v>
      </c>
      <c r="C256" t="s">
        <v>55</v>
      </c>
      <c r="D256" t="str" cm="1">
        <f t="array" ref="D256">_xlfn.IFS(OR(LOWER(C256)="f",LOWER(C256)="female"),"Female",TRUE,"Male")</f>
        <v>Male</v>
      </c>
      <c r="E256">
        <v>48</v>
      </c>
      <c r="F256">
        <f t="shared" si="15"/>
        <v>48</v>
      </c>
      <c r="G256" t="s">
        <v>160</v>
      </c>
      <c r="H256" t="s">
        <v>161</v>
      </c>
      <c r="I256" t="s">
        <v>80</v>
      </c>
      <c r="J256">
        <v>8</v>
      </c>
      <c r="K256">
        <f t="shared" si="16"/>
        <v>8</v>
      </c>
      <c r="L256">
        <v>30</v>
      </c>
      <c r="M256" t="str">
        <f t="shared" si="17"/>
        <v>30</v>
      </c>
      <c r="N256">
        <v>5</v>
      </c>
      <c r="O256" s="3">
        <f t="shared" si="18"/>
        <v>5</v>
      </c>
      <c r="P256">
        <v>1</v>
      </c>
      <c r="Q256" t="str" cm="1">
        <f t="array" ref="Q256">_xlfn.IFS(ISBLANK(P256),"Not Specified",OR(P256="N",P256=FALSE,P256="no",P256=0),"no",TRUE,"yes")</f>
        <v>yes</v>
      </c>
      <c r="R256" s="5">
        <v>0.99</v>
      </c>
      <c r="S256">
        <f t="shared" si="19"/>
        <v>99</v>
      </c>
    </row>
    <row r="257" spans="1:19">
      <c r="A257" t="s">
        <v>601</v>
      </c>
      <c r="B257" t="s">
        <v>602</v>
      </c>
      <c r="C257" t="s">
        <v>41</v>
      </c>
      <c r="D257" t="str" cm="1">
        <f t="array" ref="D257">_xlfn.IFS(OR(LOWER(C257)="f",LOWER(C257)="female"),"Female",TRUE,"Male")</f>
        <v>Female</v>
      </c>
      <c r="E257">
        <v>39</v>
      </c>
      <c r="F257">
        <f t="shared" si="15"/>
        <v>39</v>
      </c>
      <c r="G257" t="s">
        <v>119</v>
      </c>
      <c r="H257" t="s">
        <v>120</v>
      </c>
      <c r="I257" t="s">
        <v>58</v>
      </c>
      <c r="J257">
        <v>12</v>
      </c>
      <c r="K257">
        <f t="shared" si="16"/>
        <v>12</v>
      </c>
      <c r="L257" t="s">
        <v>128</v>
      </c>
      <c r="M257" t="str">
        <f t="shared" si="17"/>
        <v>20</v>
      </c>
      <c r="N257">
        <v>3.2</v>
      </c>
      <c r="O257" s="3">
        <f t="shared" si="18"/>
        <v>3.2</v>
      </c>
      <c r="P257" t="b">
        <v>1</v>
      </c>
      <c r="Q257" t="str" cm="1">
        <f t="array" ref="Q257">_xlfn.IFS(ISBLANK(P257),"Not Specified",OR(P257="N",P257=FALSE,P257="no",P257=0),"no",TRUE,"yes")</f>
        <v>yes</v>
      </c>
      <c r="R257" s="5">
        <v>0.66</v>
      </c>
      <c r="S257">
        <f t="shared" si="19"/>
        <v>66</v>
      </c>
    </row>
    <row r="258" spans="1:19">
      <c r="A258" t="s">
        <v>603</v>
      </c>
      <c r="B258" t="s">
        <v>604</v>
      </c>
      <c r="C258" t="s">
        <v>41</v>
      </c>
      <c r="D258" t="str" cm="1">
        <f t="array" ref="D258">_xlfn.IFS(OR(LOWER(C258)="f",LOWER(C258)="female"),"Female",TRUE,"Male")</f>
        <v>Female</v>
      </c>
      <c r="E258">
        <v>57</v>
      </c>
      <c r="F258">
        <f t="shared" si="15"/>
        <v>57</v>
      </c>
      <c r="G258" t="s">
        <v>28</v>
      </c>
      <c r="H258" t="s">
        <v>29</v>
      </c>
      <c r="I258" t="s">
        <v>24</v>
      </c>
      <c r="J258">
        <v>30</v>
      </c>
      <c r="K258">
        <f t="shared" si="16"/>
        <v>30</v>
      </c>
      <c r="L258" t="s">
        <v>52</v>
      </c>
      <c r="M258" t="str">
        <f t="shared" si="17"/>
        <v>30</v>
      </c>
      <c r="N258">
        <v>2.4</v>
      </c>
      <c r="O258" s="3">
        <f t="shared" si="18"/>
        <v>2.4</v>
      </c>
      <c r="Q258" t="str" cm="1">
        <f t="array" ref="Q258">_xlfn.IFS(ISBLANK(P258),"Not Specified",OR(P258="N",P258=FALSE,P258="no",P258=0),"no",TRUE,"yes")</f>
        <v>Not Specified</v>
      </c>
      <c r="R258" s="5">
        <v>0.8</v>
      </c>
      <c r="S258">
        <f t="shared" si="19"/>
        <v>80</v>
      </c>
    </row>
    <row r="259" spans="1:19">
      <c r="A259" t="s">
        <v>605</v>
      </c>
      <c r="B259" t="s">
        <v>606</v>
      </c>
      <c r="C259" t="s">
        <v>27</v>
      </c>
      <c r="D259" t="str" cm="1">
        <f t="array" ref="D259">_xlfn.IFS(OR(LOWER(C259)="f",LOWER(C259)="female"),"Female",TRUE,"Male")</f>
        <v>Female</v>
      </c>
      <c r="E259">
        <v>44</v>
      </c>
      <c r="F259">
        <f t="shared" ref="F259:F322" si="20">IF(ISNUMBER(E259),E259,"Not Specified")</f>
        <v>44</v>
      </c>
      <c r="G259" t="s">
        <v>135</v>
      </c>
      <c r="H259" t="s">
        <v>29</v>
      </c>
      <c r="I259" t="s">
        <v>42</v>
      </c>
      <c r="J259">
        <v>21</v>
      </c>
      <c r="K259">
        <f t="shared" ref="K259:K322" si="21">IF(ISNUMBER(J259),J259,"Not Specified")</f>
        <v>21</v>
      </c>
      <c r="L259">
        <v>100</v>
      </c>
      <c r="M259" t="str">
        <f t="shared" ref="M259:M322" si="22">IF(SUBSTITUTE(SUBSTITUTE(L259,"USD",""),"$","")="","Not Specified",SUBSTITUTE(SUBSTITUTE(L259,"USD",""),"$",""))</f>
        <v>100</v>
      </c>
      <c r="N259">
        <v>2.9</v>
      </c>
      <c r="O259" s="3">
        <f t="shared" ref="O259:O322" si="23">IF(OR(N259="",N259=0),"Not Specified",N259)</f>
        <v>2.9</v>
      </c>
      <c r="P259">
        <v>0</v>
      </c>
      <c r="Q259" t="str" cm="1">
        <f t="array" ref="Q259">_xlfn.IFS(ISBLANK(P259),"Not Specified",OR(P259="N",P259=FALSE,P259="no",P259=0),"no",TRUE,"yes")</f>
        <v>no</v>
      </c>
      <c r="R259" s="5">
        <v>0.83</v>
      </c>
      <c r="S259">
        <f t="shared" ref="S259:S322" si="24">IF(ISBLANK(R259),"Not Specified",IF(R259&lt;=1,R259*100,R259))</f>
        <v>83</v>
      </c>
    </row>
    <row r="260" spans="1:19">
      <c r="A260" t="s">
        <v>607</v>
      </c>
      <c r="B260" t="s">
        <v>608</v>
      </c>
      <c r="C260" t="s">
        <v>34</v>
      </c>
      <c r="D260" t="str" cm="1">
        <f t="array" ref="D260">_xlfn.IFS(OR(LOWER(C260)="f",LOWER(C260)="female"),"Female",TRUE,"Male")</f>
        <v>Male</v>
      </c>
      <c r="E260">
        <v>37</v>
      </c>
      <c r="F260">
        <f t="shared" si="20"/>
        <v>37</v>
      </c>
      <c r="G260" t="s">
        <v>114</v>
      </c>
      <c r="H260" t="s">
        <v>115</v>
      </c>
      <c r="I260" t="s">
        <v>80</v>
      </c>
      <c r="J260">
        <v>17</v>
      </c>
      <c r="K260">
        <f t="shared" si="21"/>
        <v>17</v>
      </c>
      <c r="L260" t="s">
        <v>321</v>
      </c>
      <c r="M260" t="str">
        <f t="shared" si="22"/>
        <v> 20</v>
      </c>
      <c r="N260">
        <v>0</v>
      </c>
      <c r="O260" s="3" t="str">
        <f t="shared" si="23"/>
        <v>Not Specified</v>
      </c>
      <c r="P260" t="s">
        <v>75</v>
      </c>
      <c r="Q260" t="str" cm="1">
        <f t="array" ref="Q260">_xlfn.IFS(ISBLANK(P260),"Not Specified",OR(P260="N",P260=FALSE,P260="no",P260=0),"no",TRUE,"yes")</f>
        <v>yes</v>
      </c>
      <c r="R260">
        <v>87</v>
      </c>
      <c r="S260">
        <f t="shared" si="24"/>
        <v>87</v>
      </c>
    </row>
    <row r="261" spans="1:19">
      <c r="A261" t="s">
        <v>609</v>
      </c>
      <c r="B261" t="s">
        <v>610</v>
      </c>
      <c r="C261" t="s">
        <v>104</v>
      </c>
      <c r="D261" t="str" cm="1">
        <f t="array" ref="D261">_xlfn.IFS(OR(LOWER(C261)="f",LOWER(C261)="female"),"Female",TRUE,"Male")</f>
        <v>Male</v>
      </c>
      <c r="E261">
        <v>50</v>
      </c>
      <c r="F261">
        <f t="shared" si="20"/>
        <v>50</v>
      </c>
      <c r="G261" t="s">
        <v>69</v>
      </c>
      <c r="H261" t="s">
        <v>70</v>
      </c>
      <c r="I261" t="s">
        <v>58</v>
      </c>
      <c r="J261">
        <v>9</v>
      </c>
      <c r="K261">
        <f t="shared" si="21"/>
        <v>9</v>
      </c>
      <c r="L261">
        <v>30</v>
      </c>
      <c r="M261" t="str">
        <f t="shared" si="22"/>
        <v>30</v>
      </c>
      <c r="N261">
        <v>3</v>
      </c>
      <c r="O261" s="3">
        <f t="shared" si="23"/>
        <v>3</v>
      </c>
      <c r="P261">
        <v>0</v>
      </c>
      <c r="Q261" t="str" cm="1">
        <f t="array" ref="Q261">_xlfn.IFS(ISBLANK(P261),"Not Specified",OR(P261="N",P261=FALSE,P261="no",P261=0),"no",TRUE,"yes")</f>
        <v>no</v>
      </c>
      <c r="R261">
        <v>76</v>
      </c>
      <c r="S261">
        <f t="shared" si="24"/>
        <v>76</v>
      </c>
    </row>
    <row r="262" spans="1:19">
      <c r="A262" t="s">
        <v>611</v>
      </c>
      <c r="B262" t="s">
        <v>612</v>
      </c>
      <c r="C262" t="s">
        <v>104</v>
      </c>
      <c r="D262" t="str" cm="1">
        <f t="array" ref="D262">_xlfn.IFS(OR(LOWER(C262)="f",LOWER(C262)="female"),"Female",TRUE,"Male")</f>
        <v>Male</v>
      </c>
      <c r="E262">
        <v>50</v>
      </c>
      <c r="F262">
        <f t="shared" si="20"/>
        <v>50</v>
      </c>
      <c r="G262" t="s">
        <v>197</v>
      </c>
      <c r="H262" t="s">
        <v>79</v>
      </c>
      <c r="I262" t="s">
        <v>80</v>
      </c>
      <c r="J262">
        <v>2</v>
      </c>
      <c r="K262">
        <f t="shared" si="21"/>
        <v>2</v>
      </c>
      <c r="L262">
        <v>50</v>
      </c>
      <c r="M262" t="str">
        <f t="shared" si="22"/>
        <v>50</v>
      </c>
      <c r="N262">
        <v>1.6</v>
      </c>
      <c r="O262" s="3">
        <f t="shared" si="23"/>
        <v>1.6</v>
      </c>
      <c r="P262" t="s">
        <v>166</v>
      </c>
      <c r="Q262" t="str" cm="1">
        <f t="array" ref="Q262">_xlfn.IFS(ISBLANK(P262),"Not Specified",OR(P262="N",P262=FALSE,P262="no",P262=0),"no",TRUE,"yes")</f>
        <v>no</v>
      </c>
      <c r="R262" s="5">
        <v>0.89</v>
      </c>
      <c r="S262">
        <f t="shared" si="24"/>
        <v>89</v>
      </c>
    </row>
    <row r="263" spans="1:19">
      <c r="A263" t="s">
        <v>613</v>
      </c>
      <c r="B263" t="s">
        <v>614</v>
      </c>
      <c r="C263" t="s">
        <v>84</v>
      </c>
      <c r="D263" t="str" cm="1">
        <f t="array" ref="D263">_xlfn.IFS(OR(LOWER(C263)="f",LOWER(C263)="female"),"Female",TRUE,"Male")</f>
        <v>Female</v>
      </c>
      <c r="E263">
        <v>28</v>
      </c>
      <c r="F263">
        <f t="shared" si="20"/>
        <v>28</v>
      </c>
      <c r="G263" t="s">
        <v>142</v>
      </c>
      <c r="H263" t="s">
        <v>143</v>
      </c>
      <c r="I263" t="s">
        <v>37</v>
      </c>
      <c r="J263">
        <v>1</v>
      </c>
      <c r="K263">
        <f t="shared" si="21"/>
        <v>1</v>
      </c>
      <c r="L263">
        <v>20</v>
      </c>
      <c r="M263" t="str">
        <f t="shared" si="22"/>
        <v>20</v>
      </c>
      <c r="N263">
        <v>3.6</v>
      </c>
      <c r="O263" s="3">
        <f t="shared" si="23"/>
        <v>3.6</v>
      </c>
      <c r="P263" t="s">
        <v>75</v>
      </c>
      <c r="Q263" t="str" cm="1">
        <f t="array" ref="Q263">_xlfn.IFS(ISBLANK(P263),"Not Specified",OR(P263="N",P263=FALSE,P263="no",P263=0),"no",TRUE,"yes")</f>
        <v>yes</v>
      </c>
      <c r="R263" s="5">
        <v>0.94</v>
      </c>
      <c r="S263">
        <f t="shared" si="24"/>
        <v>94</v>
      </c>
    </row>
    <row r="264" spans="1:19">
      <c r="A264" t="s">
        <v>615</v>
      </c>
      <c r="B264" t="s">
        <v>616</v>
      </c>
      <c r="C264" t="s">
        <v>104</v>
      </c>
      <c r="D264" t="str" cm="1">
        <f t="array" ref="D264">_xlfn.IFS(OR(LOWER(C264)="f",LOWER(C264)="female"),"Female",TRUE,"Male")</f>
        <v>Male</v>
      </c>
      <c r="E264">
        <v>48</v>
      </c>
      <c r="F264">
        <f t="shared" si="20"/>
        <v>48</v>
      </c>
      <c r="G264" t="s">
        <v>22</v>
      </c>
      <c r="H264" t="s">
        <v>23</v>
      </c>
      <c r="I264" t="s">
        <v>42</v>
      </c>
      <c r="J264">
        <v>23</v>
      </c>
      <c r="K264">
        <f t="shared" si="21"/>
        <v>23</v>
      </c>
      <c r="M264" t="str">
        <f t="shared" si="22"/>
        <v>Not Specified</v>
      </c>
      <c r="N264">
        <v>2.1</v>
      </c>
      <c r="O264" s="3">
        <f t="shared" si="23"/>
        <v>2.1</v>
      </c>
      <c r="P264">
        <v>0</v>
      </c>
      <c r="Q264" t="str" cm="1">
        <f t="array" ref="Q264">_xlfn.IFS(ISBLANK(P264),"Not Specified",OR(P264="N",P264=FALSE,P264="no",P264=0),"no",TRUE,"yes")</f>
        <v>no</v>
      </c>
      <c r="R264" s="5">
        <v>0.68</v>
      </c>
      <c r="S264">
        <f t="shared" si="24"/>
        <v>68</v>
      </c>
    </row>
    <row r="265" spans="1:19">
      <c r="A265" t="s">
        <v>617</v>
      </c>
      <c r="B265" t="s">
        <v>618</v>
      </c>
      <c r="C265" t="s">
        <v>104</v>
      </c>
      <c r="D265" t="str" cm="1">
        <f t="array" ref="D265">_xlfn.IFS(OR(LOWER(C265)="f",LOWER(C265)="female"),"Female",TRUE,"Male")</f>
        <v>Male</v>
      </c>
      <c r="E265">
        <v>42</v>
      </c>
      <c r="F265">
        <f t="shared" si="20"/>
        <v>42</v>
      </c>
      <c r="G265" t="s">
        <v>35</v>
      </c>
      <c r="H265" t="s">
        <v>36</v>
      </c>
      <c r="I265" t="s">
        <v>96</v>
      </c>
      <c r="J265">
        <v>8</v>
      </c>
      <c r="K265">
        <f t="shared" si="21"/>
        <v>8</v>
      </c>
      <c r="L265">
        <v>30</v>
      </c>
      <c r="M265" t="str">
        <f t="shared" si="22"/>
        <v>30</v>
      </c>
      <c r="N265">
        <v>3.6</v>
      </c>
      <c r="O265" s="3">
        <f t="shared" si="23"/>
        <v>3.6</v>
      </c>
      <c r="P265">
        <v>1</v>
      </c>
      <c r="Q265" t="str" cm="1">
        <f t="array" ref="Q265">_xlfn.IFS(ISBLANK(P265),"Not Specified",OR(P265="N",P265=FALSE,P265="no",P265=0),"no",TRUE,"yes")</f>
        <v>yes</v>
      </c>
      <c r="R265" s="5">
        <v>0.96</v>
      </c>
      <c r="S265">
        <f t="shared" si="24"/>
        <v>96</v>
      </c>
    </row>
    <row r="266" spans="1:19">
      <c r="A266" t="s">
        <v>619</v>
      </c>
      <c r="B266" t="s">
        <v>620</v>
      </c>
      <c r="C266" t="s">
        <v>84</v>
      </c>
      <c r="D266" t="str" cm="1">
        <f t="array" ref="D266">_xlfn.IFS(OR(LOWER(C266)="f",LOWER(C266)="female"),"Female",TRUE,"Male")</f>
        <v>Female</v>
      </c>
      <c r="E266">
        <v>37</v>
      </c>
      <c r="F266">
        <f t="shared" si="20"/>
        <v>37</v>
      </c>
      <c r="G266" t="s">
        <v>135</v>
      </c>
      <c r="H266" t="s">
        <v>29</v>
      </c>
      <c r="I266" t="s">
        <v>58</v>
      </c>
      <c r="J266">
        <v>6</v>
      </c>
      <c r="K266">
        <f t="shared" si="21"/>
        <v>6</v>
      </c>
      <c r="L266" t="s">
        <v>128</v>
      </c>
      <c r="M266" t="str">
        <f t="shared" si="22"/>
        <v>20</v>
      </c>
      <c r="N266">
        <v>2.7</v>
      </c>
      <c r="O266" s="3">
        <f t="shared" si="23"/>
        <v>2.7</v>
      </c>
      <c r="P266" t="b">
        <v>1</v>
      </c>
      <c r="Q266" t="str" cm="1">
        <f t="array" ref="Q266">_xlfn.IFS(ISBLANK(P266),"Not Specified",OR(P266="N",P266=FALSE,P266="no",P266=0),"no",TRUE,"yes")</f>
        <v>yes</v>
      </c>
      <c r="R266" s="5">
        <v>0.91</v>
      </c>
      <c r="S266">
        <f t="shared" si="24"/>
        <v>91</v>
      </c>
    </row>
    <row r="267" spans="1:19">
      <c r="A267" t="s">
        <v>621</v>
      </c>
      <c r="B267" t="s">
        <v>622</v>
      </c>
      <c r="C267" t="s">
        <v>104</v>
      </c>
      <c r="D267" t="str" cm="1">
        <f t="array" ref="D267">_xlfn.IFS(OR(LOWER(C267)="f",LOWER(C267)="female"),"Female",TRUE,"Male")</f>
        <v>Male</v>
      </c>
      <c r="E267">
        <v>21</v>
      </c>
      <c r="F267">
        <f t="shared" si="20"/>
        <v>21</v>
      </c>
      <c r="G267" t="s">
        <v>100</v>
      </c>
      <c r="H267" t="s">
        <v>101</v>
      </c>
      <c r="I267" t="s">
        <v>24</v>
      </c>
      <c r="J267">
        <v>1</v>
      </c>
      <c r="K267">
        <f t="shared" si="21"/>
        <v>1</v>
      </c>
      <c r="L267">
        <v>100</v>
      </c>
      <c r="M267" t="str">
        <f t="shared" si="22"/>
        <v>100</v>
      </c>
      <c r="N267">
        <v>2.1</v>
      </c>
      <c r="O267" s="3">
        <f t="shared" si="23"/>
        <v>2.1</v>
      </c>
      <c r="P267">
        <v>1</v>
      </c>
      <c r="Q267" t="str" cm="1">
        <f t="array" ref="Q267">_xlfn.IFS(ISBLANK(P267),"Not Specified",OR(P267="N",P267=FALSE,P267="no",P267=0),"no",TRUE,"yes")</f>
        <v>yes</v>
      </c>
      <c r="R267" s="5">
        <v>0.92</v>
      </c>
      <c r="S267">
        <f t="shared" si="24"/>
        <v>92</v>
      </c>
    </row>
    <row r="268" spans="1:19">
      <c r="A268" t="s">
        <v>623</v>
      </c>
      <c r="B268" t="s">
        <v>624</v>
      </c>
      <c r="C268" t="s">
        <v>68</v>
      </c>
      <c r="D268" t="str" cm="1">
        <f t="array" ref="D268">_xlfn.IFS(OR(LOWER(C268)="f",LOWER(C268)="female"),"Female",TRUE,"Male")</f>
        <v>Male</v>
      </c>
      <c r="E268">
        <v>50</v>
      </c>
      <c r="F268">
        <f t="shared" si="20"/>
        <v>50</v>
      </c>
      <c r="G268" t="s">
        <v>119</v>
      </c>
      <c r="H268" t="s">
        <v>120</v>
      </c>
      <c r="I268" t="s">
        <v>42</v>
      </c>
      <c r="J268">
        <v>19</v>
      </c>
      <c r="K268">
        <f t="shared" si="21"/>
        <v>19</v>
      </c>
      <c r="L268" t="s">
        <v>43</v>
      </c>
      <c r="M268" t="str">
        <f t="shared" si="22"/>
        <v>40</v>
      </c>
      <c r="N268">
        <v>4.9</v>
      </c>
      <c r="O268" s="3">
        <f t="shared" si="23"/>
        <v>4.9</v>
      </c>
      <c r="Q268" t="str" cm="1">
        <f t="array" ref="Q268">_xlfn.IFS(ISBLANK(P268),"Not Specified",OR(P268="N",P268=FALSE,P268="no",P268=0),"no",TRUE,"yes")</f>
        <v>Not Specified</v>
      </c>
      <c r="R268" s="5">
        <v>0.82</v>
      </c>
      <c r="S268">
        <f t="shared" si="24"/>
        <v>82</v>
      </c>
    </row>
    <row r="269" spans="1:19">
      <c r="A269" t="s">
        <v>625</v>
      </c>
      <c r="B269" t="s">
        <v>626</v>
      </c>
      <c r="C269" t="s">
        <v>41</v>
      </c>
      <c r="D269" t="str" cm="1">
        <f t="array" ref="D269">_xlfn.IFS(OR(LOWER(C269)="f",LOWER(C269)="female"),"Female",TRUE,"Male")</f>
        <v>Female</v>
      </c>
      <c r="E269">
        <v>22</v>
      </c>
      <c r="F269">
        <f t="shared" si="20"/>
        <v>22</v>
      </c>
      <c r="G269" t="s">
        <v>78</v>
      </c>
      <c r="H269" t="s">
        <v>79</v>
      </c>
      <c r="I269" t="s">
        <v>51</v>
      </c>
      <c r="J269">
        <v>2</v>
      </c>
      <c r="K269">
        <f t="shared" si="21"/>
        <v>2</v>
      </c>
      <c r="L269">
        <v>30</v>
      </c>
      <c r="M269" t="str">
        <f t="shared" si="22"/>
        <v>30</v>
      </c>
      <c r="N269">
        <v>2.1</v>
      </c>
      <c r="O269" s="3">
        <f t="shared" si="23"/>
        <v>2.1</v>
      </c>
      <c r="Q269" t="str" cm="1">
        <f t="array" ref="Q269">_xlfn.IFS(ISBLANK(P269),"Not Specified",OR(P269="N",P269=FALSE,P269="no",P269=0),"no",TRUE,"yes")</f>
        <v>Not Specified</v>
      </c>
      <c r="S269" t="str">
        <f t="shared" si="24"/>
        <v>Not Specified</v>
      </c>
    </row>
    <row r="270" spans="1:19">
      <c r="A270" t="s">
        <v>627</v>
      </c>
      <c r="B270" t="s">
        <v>628</v>
      </c>
      <c r="C270" t="s">
        <v>84</v>
      </c>
      <c r="D270" t="str" cm="1">
        <f t="array" ref="D270">_xlfn.IFS(OR(LOWER(C270)="f",LOWER(C270)="female"),"Female",TRUE,"Male")</f>
        <v>Female</v>
      </c>
      <c r="E270">
        <v>39</v>
      </c>
      <c r="F270">
        <f t="shared" si="20"/>
        <v>39</v>
      </c>
      <c r="G270" t="s">
        <v>92</v>
      </c>
      <c r="H270" t="s">
        <v>93</v>
      </c>
      <c r="I270" t="s">
        <v>42</v>
      </c>
      <c r="J270">
        <v>21</v>
      </c>
      <c r="K270">
        <f t="shared" si="21"/>
        <v>21</v>
      </c>
      <c r="L270">
        <v>100</v>
      </c>
      <c r="M270" t="str">
        <f t="shared" si="22"/>
        <v>100</v>
      </c>
      <c r="N270">
        <v>0</v>
      </c>
      <c r="O270" s="3" t="str">
        <f t="shared" si="23"/>
        <v>Not Specified</v>
      </c>
      <c r="P270" t="s">
        <v>166</v>
      </c>
      <c r="Q270" t="str" cm="1">
        <f t="array" ref="Q270">_xlfn.IFS(ISBLANK(P270),"Not Specified",OR(P270="N",P270=FALSE,P270="no",P270=0),"no",TRUE,"yes")</f>
        <v>no</v>
      </c>
      <c r="R270" s="5">
        <v>0.91</v>
      </c>
      <c r="S270">
        <f t="shared" si="24"/>
        <v>91</v>
      </c>
    </row>
    <row r="271" spans="1:19">
      <c r="A271" t="s">
        <v>629</v>
      </c>
      <c r="B271" t="s">
        <v>630</v>
      </c>
      <c r="C271" t="s">
        <v>84</v>
      </c>
      <c r="D271" t="str" cm="1">
        <f t="array" ref="D271">_xlfn.IFS(OR(LOWER(C271)="f",LOWER(C271)="female"),"Female",TRUE,"Male")</f>
        <v>Female</v>
      </c>
      <c r="E271">
        <v>25</v>
      </c>
      <c r="F271">
        <f t="shared" si="20"/>
        <v>25</v>
      </c>
      <c r="G271" t="s">
        <v>92</v>
      </c>
      <c r="H271" t="s">
        <v>93</v>
      </c>
      <c r="I271" t="s">
        <v>121</v>
      </c>
      <c r="J271">
        <v>3</v>
      </c>
      <c r="K271">
        <f t="shared" si="21"/>
        <v>3</v>
      </c>
      <c r="L271" t="s">
        <v>71</v>
      </c>
      <c r="M271" t="str">
        <f t="shared" si="22"/>
        <v>50</v>
      </c>
      <c r="N271">
        <v>2.8</v>
      </c>
      <c r="O271" s="3">
        <f t="shared" si="23"/>
        <v>2.8</v>
      </c>
      <c r="P271" t="s">
        <v>75</v>
      </c>
      <c r="Q271" t="str" cm="1">
        <f t="array" ref="Q271">_xlfn.IFS(ISBLANK(P271),"Not Specified",OR(P271="N",P271=FALSE,P271="no",P271=0),"no",TRUE,"yes")</f>
        <v>yes</v>
      </c>
      <c r="R271">
        <v>86</v>
      </c>
      <c r="S271">
        <f t="shared" si="24"/>
        <v>86</v>
      </c>
    </row>
    <row r="272" spans="1:19">
      <c r="A272" t="s">
        <v>631</v>
      </c>
      <c r="B272" t="s">
        <v>632</v>
      </c>
      <c r="C272" t="s">
        <v>27</v>
      </c>
      <c r="D272" t="str" cm="1">
        <f t="array" ref="D272">_xlfn.IFS(OR(LOWER(C272)="f",LOWER(C272)="female"),"Female",TRUE,"Male")</f>
        <v>Female</v>
      </c>
      <c r="E272">
        <v>47</v>
      </c>
      <c r="F272">
        <f t="shared" si="20"/>
        <v>47</v>
      </c>
      <c r="G272" t="s">
        <v>160</v>
      </c>
      <c r="H272" t="s">
        <v>161</v>
      </c>
      <c r="I272" t="s">
        <v>30</v>
      </c>
      <c r="J272">
        <v>14</v>
      </c>
      <c r="K272">
        <f t="shared" si="21"/>
        <v>14</v>
      </c>
      <c r="M272" t="str">
        <f t="shared" si="22"/>
        <v>Not Specified</v>
      </c>
      <c r="O272" s="3" t="str">
        <f t="shared" si="23"/>
        <v>Not Specified</v>
      </c>
      <c r="P272" t="b">
        <v>0</v>
      </c>
      <c r="Q272" t="str" cm="1">
        <f t="array" ref="Q272">_xlfn.IFS(ISBLANK(P272),"Not Specified",OR(P272="N",P272=FALSE,P272="no",P272=0),"no",TRUE,"yes")</f>
        <v>no</v>
      </c>
      <c r="R272" s="5">
        <v>0.69</v>
      </c>
      <c r="S272">
        <f t="shared" si="24"/>
        <v>69</v>
      </c>
    </row>
    <row r="273" spans="1:19">
      <c r="A273" t="s">
        <v>633</v>
      </c>
      <c r="B273" t="s">
        <v>634</v>
      </c>
      <c r="C273" t="s">
        <v>21</v>
      </c>
      <c r="D273" t="str" cm="1">
        <f t="array" ref="D273">_xlfn.IFS(OR(LOWER(C273)="f",LOWER(C273)="female"),"Female",TRUE,"Male")</f>
        <v>Female</v>
      </c>
      <c r="E273">
        <v>35</v>
      </c>
      <c r="F273">
        <f t="shared" si="20"/>
        <v>35</v>
      </c>
      <c r="G273" t="s">
        <v>160</v>
      </c>
      <c r="H273" t="s">
        <v>161</v>
      </c>
      <c r="I273" t="s">
        <v>80</v>
      </c>
      <c r="J273">
        <v>10</v>
      </c>
      <c r="K273">
        <f t="shared" si="21"/>
        <v>10</v>
      </c>
      <c r="L273" t="s">
        <v>31</v>
      </c>
      <c r="M273" t="str">
        <f t="shared" si="22"/>
        <v> 100</v>
      </c>
      <c r="N273">
        <v>4.7</v>
      </c>
      <c r="O273" s="3">
        <f t="shared" si="23"/>
        <v>4.7</v>
      </c>
      <c r="P273" t="b">
        <v>1</v>
      </c>
      <c r="Q273" t="str" cm="1">
        <f t="array" ref="Q273">_xlfn.IFS(ISBLANK(P273),"Not Specified",OR(P273="N",P273=FALSE,P273="no",P273=0),"no",TRUE,"yes")</f>
        <v>yes</v>
      </c>
      <c r="R273" s="5">
        <v>0.84</v>
      </c>
      <c r="S273">
        <f t="shared" si="24"/>
        <v>84</v>
      </c>
    </row>
    <row r="274" spans="1:19">
      <c r="A274" t="s">
        <v>635</v>
      </c>
      <c r="B274" t="s">
        <v>636</v>
      </c>
      <c r="C274" t="s">
        <v>21</v>
      </c>
      <c r="D274" t="str" cm="1">
        <f t="array" ref="D274">_xlfn.IFS(OR(LOWER(C274)="f",LOWER(C274)="female"),"Female",TRUE,"Male")</f>
        <v>Female</v>
      </c>
      <c r="F274" t="str">
        <f t="shared" si="20"/>
        <v>Not Specified</v>
      </c>
      <c r="G274" t="s">
        <v>74</v>
      </c>
      <c r="H274" t="s">
        <v>29</v>
      </c>
      <c r="I274" t="s">
        <v>85</v>
      </c>
      <c r="J274">
        <v>5</v>
      </c>
      <c r="K274">
        <f t="shared" si="21"/>
        <v>5</v>
      </c>
      <c r="L274">
        <v>100</v>
      </c>
      <c r="M274" t="str">
        <f t="shared" si="22"/>
        <v>100</v>
      </c>
      <c r="N274">
        <v>1.3</v>
      </c>
      <c r="O274" s="3">
        <f t="shared" si="23"/>
        <v>1.3</v>
      </c>
      <c r="P274">
        <v>0</v>
      </c>
      <c r="Q274" t="str" cm="1">
        <f t="array" ref="Q274">_xlfn.IFS(ISBLANK(P274),"Not Specified",OR(P274="N",P274=FALSE,P274="no",P274=0),"no",TRUE,"yes")</f>
        <v>no</v>
      </c>
      <c r="R274" s="5">
        <v>0.6</v>
      </c>
      <c r="S274">
        <f t="shared" si="24"/>
        <v>60</v>
      </c>
    </row>
    <row r="275" spans="1:19">
      <c r="A275" t="s">
        <v>637</v>
      </c>
      <c r="B275" t="s">
        <v>638</v>
      </c>
      <c r="C275" t="s">
        <v>34</v>
      </c>
      <c r="D275" t="str" cm="1">
        <f t="array" ref="D275">_xlfn.IFS(OR(LOWER(C275)="f",LOWER(C275)="female"),"Female",TRUE,"Male")</f>
        <v>Male</v>
      </c>
      <c r="E275">
        <v>35</v>
      </c>
      <c r="F275">
        <f t="shared" si="20"/>
        <v>35</v>
      </c>
      <c r="G275" t="s">
        <v>49</v>
      </c>
      <c r="H275" t="s">
        <v>50</v>
      </c>
      <c r="I275" t="s">
        <v>24</v>
      </c>
      <c r="J275">
        <v>6</v>
      </c>
      <c r="K275">
        <f t="shared" si="21"/>
        <v>6</v>
      </c>
      <c r="L275" t="s">
        <v>59</v>
      </c>
      <c r="M275" t="str">
        <f t="shared" si="22"/>
        <v> 75</v>
      </c>
      <c r="N275">
        <v>1.6</v>
      </c>
      <c r="O275" s="3">
        <f t="shared" si="23"/>
        <v>1.6</v>
      </c>
      <c r="P275">
        <v>1</v>
      </c>
      <c r="Q275" t="str" cm="1">
        <f t="array" ref="Q275">_xlfn.IFS(ISBLANK(P275),"Not Specified",OR(P275="N",P275=FALSE,P275="no",P275=0),"no",TRUE,"yes")</f>
        <v>yes</v>
      </c>
      <c r="R275" s="5">
        <v>0.97</v>
      </c>
      <c r="S275">
        <f t="shared" si="24"/>
        <v>97</v>
      </c>
    </row>
    <row r="276" spans="1:19">
      <c r="A276" t="s">
        <v>639</v>
      </c>
      <c r="B276" t="s">
        <v>640</v>
      </c>
      <c r="C276" t="s">
        <v>104</v>
      </c>
      <c r="D276" t="str" cm="1">
        <f t="array" ref="D276">_xlfn.IFS(OR(LOWER(C276)="f",LOWER(C276)="female"),"Female",TRUE,"Male")</f>
        <v>Male</v>
      </c>
      <c r="E276">
        <v>59</v>
      </c>
      <c r="F276">
        <f t="shared" si="20"/>
        <v>59</v>
      </c>
      <c r="G276" t="s">
        <v>142</v>
      </c>
      <c r="H276" t="s">
        <v>143</v>
      </c>
      <c r="I276" t="s">
        <v>42</v>
      </c>
      <c r="J276">
        <v>21</v>
      </c>
      <c r="K276">
        <f t="shared" si="21"/>
        <v>21</v>
      </c>
      <c r="L276">
        <v>100</v>
      </c>
      <c r="M276" t="str">
        <f t="shared" si="22"/>
        <v>100</v>
      </c>
      <c r="N276">
        <v>0</v>
      </c>
      <c r="O276" s="3" t="str">
        <f t="shared" si="23"/>
        <v>Not Specified</v>
      </c>
      <c r="Q276" t="str" cm="1">
        <f t="array" ref="Q276">_xlfn.IFS(ISBLANK(P276),"Not Specified",OR(P276="N",P276=FALSE,P276="no",P276=0),"no",TRUE,"yes")</f>
        <v>Not Specified</v>
      </c>
      <c r="R276" s="5">
        <v>0.7</v>
      </c>
      <c r="S276">
        <f t="shared" si="24"/>
        <v>70</v>
      </c>
    </row>
    <row r="277" spans="1:19">
      <c r="A277" t="s">
        <v>641</v>
      </c>
      <c r="B277" t="s">
        <v>642</v>
      </c>
      <c r="C277" t="s">
        <v>27</v>
      </c>
      <c r="D277" t="str" cm="1">
        <f t="array" ref="D277">_xlfn.IFS(OR(LOWER(C277)="f",LOWER(C277)="female"),"Female",TRUE,"Male")</f>
        <v>Female</v>
      </c>
      <c r="E277">
        <v>26</v>
      </c>
      <c r="F277">
        <f t="shared" si="20"/>
        <v>26</v>
      </c>
      <c r="G277" t="s">
        <v>182</v>
      </c>
      <c r="H277" t="s">
        <v>183</v>
      </c>
      <c r="I277" t="s">
        <v>80</v>
      </c>
      <c r="J277">
        <v>4</v>
      </c>
      <c r="K277">
        <f t="shared" si="21"/>
        <v>4</v>
      </c>
      <c r="L277" t="s">
        <v>31</v>
      </c>
      <c r="M277" t="str">
        <f t="shared" si="22"/>
        <v> 100</v>
      </c>
      <c r="N277">
        <v>3.6</v>
      </c>
      <c r="O277" s="3">
        <f t="shared" si="23"/>
        <v>3.6</v>
      </c>
      <c r="P277" t="s">
        <v>166</v>
      </c>
      <c r="Q277" t="str" cm="1">
        <f t="array" ref="Q277">_xlfn.IFS(ISBLANK(P277),"Not Specified",OR(P277="N",P277=FALSE,P277="no",P277=0),"no",TRUE,"yes")</f>
        <v>no</v>
      </c>
      <c r="R277" s="5">
        <v>0.81</v>
      </c>
      <c r="S277">
        <f t="shared" si="24"/>
        <v>81</v>
      </c>
    </row>
    <row r="278" spans="1:19">
      <c r="A278" t="s">
        <v>643</v>
      </c>
      <c r="B278" t="s">
        <v>644</v>
      </c>
      <c r="C278" t="s">
        <v>68</v>
      </c>
      <c r="D278" t="str" cm="1">
        <f t="array" ref="D278">_xlfn.IFS(OR(LOWER(C278)="f",LOWER(C278)="female"),"Female",TRUE,"Male")</f>
        <v>Male</v>
      </c>
      <c r="E278">
        <v>44</v>
      </c>
      <c r="F278">
        <f t="shared" si="20"/>
        <v>44</v>
      </c>
      <c r="G278" t="s">
        <v>131</v>
      </c>
      <c r="H278" t="s">
        <v>132</v>
      </c>
      <c r="I278" t="s">
        <v>121</v>
      </c>
      <c r="J278">
        <v>18</v>
      </c>
      <c r="K278">
        <f t="shared" si="21"/>
        <v>18</v>
      </c>
      <c r="L278">
        <v>20</v>
      </c>
      <c r="M278" t="str">
        <f t="shared" si="22"/>
        <v>20</v>
      </c>
      <c r="N278">
        <v>4.7</v>
      </c>
      <c r="O278" s="3">
        <f t="shared" si="23"/>
        <v>4.7</v>
      </c>
      <c r="P278">
        <v>1</v>
      </c>
      <c r="Q278" t="str" cm="1">
        <f t="array" ref="Q278">_xlfn.IFS(ISBLANK(P278),"Not Specified",OR(P278="N",P278=FALSE,P278="no",P278=0),"no",TRUE,"yes")</f>
        <v>yes</v>
      </c>
      <c r="R278" s="5">
        <v>0.88</v>
      </c>
      <c r="S278">
        <f t="shared" si="24"/>
        <v>88</v>
      </c>
    </row>
    <row r="279" spans="1:19">
      <c r="A279" t="s">
        <v>645</v>
      </c>
      <c r="B279" t="s">
        <v>646</v>
      </c>
      <c r="C279" t="s">
        <v>84</v>
      </c>
      <c r="D279" t="str" cm="1">
        <f t="array" ref="D279">_xlfn.IFS(OR(LOWER(C279)="f",LOWER(C279)="female"),"Female",TRUE,"Male")</f>
        <v>Female</v>
      </c>
      <c r="E279">
        <v>31</v>
      </c>
      <c r="F279">
        <f t="shared" si="20"/>
        <v>31</v>
      </c>
      <c r="G279" t="s">
        <v>160</v>
      </c>
      <c r="H279" t="s">
        <v>161</v>
      </c>
      <c r="I279" t="s">
        <v>80</v>
      </c>
      <c r="J279">
        <v>12</v>
      </c>
      <c r="K279">
        <f t="shared" si="21"/>
        <v>12</v>
      </c>
      <c r="L279" t="s">
        <v>43</v>
      </c>
      <c r="M279" t="str">
        <f t="shared" si="22"/>
        <v>40</v>
      </c>
      <c r="O279" s="3" t="str">
        <f t="shared" si="23"/>
        <v>Not Specified</v>
      </c>
      <c r="P279">
        <v>1</v>
      </c>
      <c r="Q279" t="str" cm="1">
        <f t="array" ref="Q279">_xlfn.IFS(ISBLANK(P279),"Not Specified",OR(P279="N",P279=FALSE,P279="no",P279=0),"no",TRUE,"yes")</f>
        <v>yes</v>
      </c>
      <c r="R279" s="5">
        <v>1</v>
      </c>
      <c r="S279">
        <f t="shared" si="24"/>
        <v>100</v>
      </c>
    </row>
    <row r="280" spans="1:19">
      <c r="A280" t="s">
        <v>647</v>
      </c>
      <c r="B280" t="s">
        <v>648</v>
      </c>
      <c r="C280" t="s">
        <v>34</v>
      </c>
      <c r="D280" t="str" cm="1">
        <f t="array" ref="D280">_xlfn.IFS(OR(LOWER(C280)="f",LOWER(C280)="female"),"Female",TRUE,"Male")</f>
        <v>Male</v>
      </c>
      <c r="E280">
        <v>60</v>
      </c>
      <c r="F280">
        <f t="shared" si="20"/>
        <v>60</v>
      </c>
      <c r="G280" t="s">
        <v>69</v>
      </c>
      <c r="H280" t="s">
        <v>70</v>
      </c>
      <c r="I280" t="s">
        <v>58</v>
      </c>
      <c r="J280">
        <v>6</v>
      </c>
      <c r="K280">
        <f t="shared" si="21"/>
        <v>6</v>
      </c>
      <c r="M280" t="str">
        <f t="shared" si="22"/>
        <v>Not Specified</v>
      </c>
      <c r="N280">
        <v>3.2</v>
      </c>
      <c r="O280" s="3">
        <f t="shared" si="23"/>
        <v>3.2</v>
      </c>
      <c r="P280">
        <v>0</v>
      </c>
      <c r="Q280" t="str" cm="1">
        <f t="array" ref="Q280">_xlfn.IFS(ISBLANK(P280),"Not Specified",OR(P280="N",P280=FALSE,P280="no",P280=0),"no",TRUE,"yes")</f>
        <v>no</v>
      </c>
      <c r="R280">
        <v>95</v>
      </c>
      <c r="S280">
        <f t="shared" si="24"/>
        <v>95</v>
      </c>
    </row>
    <row r="281" spans="1:19">
      <c r="A281" t="s">
        <v>649</v>
      </c>
      <c r="B281" t="s">
        <v>650</v>
      </c>
      <c r="C281" t="s">
        <v>46</v>
      </c>
      <c r="D281" t="str" cm="1">
        <f t="array" ref="D281">_xlfn.IFS(OR(LOWER(C281)="f",LOWER(C281)="female"),"Female",TRUE,"Male")</f>
        <v>Female</v>
      </c>
      <c r="E281">
        <v>23</v>
      </c>
      <c r="F281">
        <f t="shared" si="20"/>
        <v>23</v>
      </c>
      <c r="G281" t="s">
        <v>74</v>
      </c>
      <c r="H281" t="s">
        <v>29</v>
      </c>
      <c r="I281" t="s">
        <v>24</v>
      </c>
      <c r="J281">
        <v>4</v>
      </c>
      <c r="K281">
        <f t="shared" si="21"/>
        <v>4</v>
      </c>
      <c r="L281" t="s">
        <v>321</v>
      </c>
      <c r="M281" t="str">
        <f t="shared" si="22"/>
        <v> 20</v>
      </c>
      <c r="O281" s="3" t="str">
        <f t="shared" si="23"/>
        <v>Not Specified</v>
      </c>
      <c r="P281">
        <v>0</v>
      </c>
      <c r="Q281" t="str" cm="1">
        <f t="array" ref="Q281">_xlfn.IFS(ISBLANK(P281),"Not Specified",OR(P281="N",P281=FALSE,P281="no",P281=0),"no",TRUE,"yes")</f>
        <v>no</v>
      </c>
      <c r="R281" s="5">
        <v>0.71</v>
      </c>
      <c r="S281">
        <f t="shared" si="24"/>
        <v>71</v>
      </c>
    </row>
    <row r="282" spans="1:19">
      <c r="A282" t="s">
        <v>651</v>
      </c>
      <c r="B282" t="s">
        <v>652</v>
      </c>
      <c r="C282" t="s">
        <v>99</v>
      </c>
      <c r="D282" t="str" cm="1">
        <f t="array" ref="D282">_xlfn.IFS(OR(LOWER(C282)="f",LOWER(C282)="female"),"Female",TRUE,"Male")</f>
        <v>Male</v>
      </c>
      <c r="E282">
        <v>42</v>
      </c>
      <c r="F282">
        <f t="shared" si="20"/>
        <v>42</v>
      </c>
      <c r="G282" t="s">
        <v>56</v>
      </c>
      <c r="H282" t="s">
        <v>57</v>
      </c>
      <c r="I282" t="s">
        <v>80</v>
      </c>
      <c r="J282">
        <v>13</v>
      </c>
      <c r="K282">
        <f t="shared" si="21"/>
        <v>13</v>
      </c>
      <c r="L282" t="s">
        <v>128</v>
      </c>
      <c r="M282" t="str">
        <f t="shared" si="22"/>
        <v>20</v>
      </c>
      <c r="N282">
        <v>4.7</v>
      </c>
      <c r="O282" s="3">
        <f t="shared" si="23"/>
        <v>4.7</v>
      </c>
      <c r="P282" t="s">
        <v>38</v>
      </c>
      <c r="Q282" t="str" cm="1">
        <f t="array" ref="Q282">_xlfn.IFS(ISBLANK(P282),"Not Specified",OR(P282="N",P282=FALSE,P282="no",P282=0),"no",TRUE,"yes")</f>
        <v>no</v>
      </c>
      <c r="R282" s="5">
        <v>0.85</v>
      </c>
      <c r="S282">
        <f t="shared" si="24"/>
        <v>85</v>
      </c>
    </row>
    <row r="283" spans="1:19">
      <c r="A283" t="s">
        <v>653</v>
      </c>
      <c r="B283" t="s">
        <v>654</v>
      </c>
      <c r="C283" t="s">
        <v>21</v>
      </c>
      <c r="D283" t="str" cm="1">
        <f t="array" ref="D283">_xlfn.IFS(OR(LOWER(C283)="f",LOWER(C283)="female"),"Female",TRUE,"Male")</f>
        <v>Female</v>
      </c>
      <c r="E283">
        <v>48</v>
      </c>
      <c r="F283">
        <f t="shared" si="20"/>
        <v>48</v>
      </c>
      <c r="G283" t="s">
        <v>100</v>
      </c>
      <c r="H283" t="s">
        <v>101</v>
      </c>
      <c r="I283" t="s">
        <v>30</v>
      </c>
      <c r="J283">
        <v>6</v>
      </c>
      <c r="K283">
        <f t="shared" si="21"/>
        <v>6</v>
      </c>
      <c r="L283">
        <v>30</v>
      </c>
      <c r="M283" t="str">
        <f t="shared" si="22"/>
        <v>30</v>
      </c>
      <c r="O283" s="3" t="str">
        <f t="shared" si="23"/>
        <v>Not Specified</v>
      </c>
      <c r="P283" t="s">
        <v>38</v>
      </c>
      <c r="Q283" t="str" cm="1">
        <f t="array" ref="Q283">_xlfn.IFS(ISBLANK(P283),"Not Specified",OR(P283="N",P283=FALSE,P283="no",P283=0),"no",TRUE,"yes")</f>
        <v>no</v>
      </c>
      <c r="R283" s="5">
        <v>0.96</v>
      </c>
      <c r="S283">
        <f t="shared" si="24"/>
        <v>96</v>
      </c>
    </row>
    <row r="284" spans="1:19">
      <c r="A284" t="s">
        <v>655</v>
      </c>
      <c r="B284" t="s">
        <v>656</v>
      </c>
      <c r="C284" t="s">
        <v>55</v>
      </c>
      <c r="D284" t="str" cm="1">
        <f t="array" ref="D284">_xlfn.IFS(OR(LOWER(C284)="f",LOWER(C284)="female"),"Female",TRUE,"Male")</f>
        <v>Male</v>
      </c>
      <c r="E284">
        <v>42</v>
      </c>
      <c r="F284">
        <f t="shared" si="20"/>
        <v>42</v>
      </c>
      <c r="G284" t="s">
        <v>49</v>
      </c>
      <c r="H284" t="s">
        <v>50</v>
      </c>
      <c r="I284" t="s">
        <v>37</v>
      </c>
      <c r="J284">
        <v>10</v>
      </c>
      <c r="K284">
        <f t="shared" si="21"/>
        <v>10</v>
      </c>
      <c r="L284" t="s">
        <v>321</v>
      </c>
      <c r="M284" t="str">
        <f t="shared" si="22"/>
        <v> 20</v>
      </c>
      <c r="N284">
        <v>2.4</v>
      </c>
      <c r="O284" s="3">
        <f t="shared" si="23"/>
        <v>2.4</v>
      </c>
      <c r="P284" t="s">
        <v>81</v>
      </c>
      <c r="Q284" t="str" cm="1">
        <f t="array" ref="Q284">_xlfn.IFS(ISBLANK(P284),"Not Specified",OR(P284="N",P284=FALSE,P284="no",P284=0),"no",TRUE,"yes")</f>
        <v>yes</v>
      </c>
      <c r="R284" s="5">
        <v>0.92</v>
      </c>
      <c r="S284">
        <f t="shared" si="24"/>
        <v>92</v>
      </c>
    </row>
    <row r="285" spans="1:19">
      <c r="A285" t="s">
        <v>657</v>
      </c>
      <c r="B285" t="s">
        <v>658</v>
      </c>
      <c r="C285" t="s">
        <v>99</v>
      </c>
      <c r="D285" t="str" cm="1">
        <f t="array" ref="D285">_xlfn.IFS(OR(LOWER(C285)="f",LOWER(C285)="female"),"Female",TRUE,"Male")</f>
        <v>Male</v>
      </c>
      <c r="E285">
        <v>52</v>
      </c>
      <c r="F285">
        <f t="shared" si="20"/>
        <v>52</v>
      </c>
      <c r="G285" t="s">
        <v>119</v>
      </c>
      <c r="H285" t="s">
        <v>120</v>
      </c>
      <c r="I285" t="s">
        <v>85</v>
      </c>
      <c r="J285">
        <v>20</v>
      </c>
      <c r="K285">
        <f t="shared" si="21"/>
        <v>20</v>
      </c>
      <c r="L285">
        <v>50</v>
      </c>
      <c r="M285" t="str">
        <f t="shared" si="22"/>
        <v>50</v>
      </c>
      <c r="O285" s="3" t="str">
        <f t="shared" si="23"/>
        <v>Not Specified</v>
      </c>
      <c r="P285" t="b">
        <v>0</v>
      </c>
      <c r="Q285" t="str" cm="1">
        <f t="array" ref="Q285">_xlfn.IFS(ISBLANK(P285),"Not Specified",OR(P285="N",P285=FALSE,P285="no",P285=0),"no",TRUE,"yes")</f>
        <v>no</v>
      </c>
      <c r="R285" s="5">
        <v>0.79</v>
      </c>
      <c r="S285">
        <f t="shared" si="24"/>
        <v>79</v>
      </c>
    </row>
    <row r="286" spans="1:19">
      <c r="A286" t="s">
        <v>659</v>
      </c>
      <c r="B286" t="s">
        <v>660</v>
      </c>
      <c r="C286" t="s">
        <v>46</v>
      </c>
      <c r="D286" t="str" cm="1">
        <f t="array" ref="D286">_xlfn.IFS(OR(LOWER(C286)="f",LOWER(C286)="female"),"Female",TRUE,"Male")</f>
        <v>Female</v>
      </c>
      <c r="E286">
        <v>55</v>
      </c>
      <c r="F286">
        <f t="shared" si="20"/>
        <v>55</v>
      </c>
      <c r="G286" t="s">
        <v>92</v>
      </c>
      <c r="H286" t="s">
        <v>93</v>
      </c>
      <c r="I286" t="s">
        <v>42</v>
      </c>
      <c r="J286">
        <v>20</v>
      </c>
      <c r="K286">
        <f t="shared" si="21"/>
        <v>20</v>
      </c>
      <c r="L286">
        <v>75</v>
      </c>
      <c r="M286" t="str">
        <f t="shared" si="22"/>
        <v>75</v>
      </c>
      <c r="N286">
        <v>2.9</v>
      </c>
      <c r="O286" s="3">
        <f t="shared" si="23"/>
        <v>2.9</v>
      </c>
      <c r="P286" t="b">
        <v>0</v>
      </c>
      <c r="Q286" t="str" cm="1">
        <f t="array" ref="Q286">_xlfn.IFS(ISBLANK(P286),"Not Specified",OR(P286="N",P286=FALSE,P286="no",P286=0),"no",TRUE,"yes")</f>
        <v>no</v>
      </c>
      <c r="S286" t="str">
        <f t="shared" si="24"/>
        <v>Not Specified</v>
      </c>
    </row>
    <row r="287" spans="1:19">
      <c r="A287" t="s">
        <v>661</v>
      </c>
      <c r="B287" t="s">
        <v>662</v>
      </c>
      <c r="C287" t="s">
        <v>21</v>
      </c>
      <c r="D287" t="str" cm="1">
        <f t="array" ref="D287">_xlfn.IFS(OR(LOWER(C287)="f",LOWER(C287)="female"),"Female",TRUE,"Male")</f>
        <v>Female</v>
      </c>
      <c r="E287">
        <v>58</v>
      </c>
      <c r="F287">
        <f t="shared" si="20"/>
        <v>58</v>
      </c>
      <c r="G287" t="s">
        <v>160</v>
      </c>
      <c r="H287" t="s">
        <v>161</v>
      </c>
      <c r="I287" t="s">
        <v>85</v>
      </c>
      <c r="J287">
        <v>11</v>
      </c>
      <c r="K287">
        <f t="shared" si="21"/>
        <v>11</v>
      </c>
      <c r="L287">
        <v>50</v>
      </c>
      <c r="M287" t="str">
        <f t="shared" si="22"/>
        <v>50</v>
      </c>
      <c r="N287">
        <v>0</v>
      </c>
      <c r="O287" s="3" t="str">
        <f t="shared" si="23"/>
        <v>Not Specified</v>
      </c>
      <c r="P287">
        <v>0</v>
      </c>
      <c r="Q287" t="str" cm="1">
        <f t="array" ref="Q287">_xlfn.IFS(ISBLANK(P287),"Not Specified",OR(P287="N",P287=FALSE,P287="no",P287=0),"no",TRUE,"yes")</f>
        <v>no</v>
      </c>
      <c r="S287" t="str">
        <f t="shared" si="24"/>
        <v>Not Specified</v>
      </c>
    </row>
    <row r="288" spans="1:19">
      <c r="A288" t="s">
        <v>663</v>
      </c>
      <c r="B288" t="s">
        <v>664</v>
      </c>
      <c r="C288" t="s">
        <v>27</v>
      </c>
      <c r="D288" t="str" cm="1">
        <f t="array" ref="D288">_xlfn.IFS(OR(LOWER(C288)="f",LOWER(C288)="female"),"Female",TRUE,"Male")</f>
        <v>Female</v>
      </c>
      <c r="E288">
        <v>46</v>
      </c>
      <c r="F288">
        <f t="shared" si="20"/>
        <v>46</v>
      </c>
      <c r="G288" t="s">
        <v>119</v>
      </c>
      <c r="H288" t="s">
        <v>120</v>
      </c>
      <c r="I288" t="s">
        <v>121</v>
      </c>
      <c r="J288">
        <v>12</v>
      </c>
      <c r="K288">
        <f t="shared" si="21"/>
        <v>12</v>
      </c>
      <c r="L288">
        <v>20</v>
      </c>
      <c r="M288" t="str">
        <f t="shared" si="22"/>
        <v>20</v>
      </c>
      <c r="N288">
        <v>0</v>
      </c>
      <c r="O288" s="3" t="str">
        <f t="shared" si="23"/>
        <v>Not Specified</v>
      </c>
      <c r="P288" t="b">
        <v>0</v>
      </c>
      <c r="Q288" t="str" cm="1">
        <f t="array" ref="Q288">_xlfn.IFS(ISBLANK(P288),"Not Specified",OR(P288="N",P288=FALSE,P288="no",P288=0),"no",TRUE,"yes")</f>
        <v>no</v>
      </c>
      <c r="R288" s="5">
        <v>0.89</v>
      </c>
      <c r="S288">
        <f t="shared" si="24"/>
        <v>89</v>
      </c>
    </row>
    <row r="289" spans="1:19">
      <c r="A289" t="s">
        <v>665</v>
      </c>
      <c r="B289" t="s">
        <v>666</v>
      </c>
      <c r="C289" t="s">
        <v>27</v>
      </c>
      <c r="D289" t="str" cm="1">
        <f t="array" ref="D289">_xlfn.IFS(OR(LOWER(C289)="f",LOWER(C289)="female"),"Female",TRUE,"Male")</f>
        <v>Female</v>
      </c>
      <c r="E289">
        <v>45</v>
      </c>
      <c r="F289">
        <f t="shared" si="20"/>
        <v>45</v>
      </c>
      <c r="G289" t="s">
        <v>197</v>
      </c>
      <c r="H289" t="s">
        <v>79</v>
      </c>
      <c r="I289" t="s">
        <v>121</v>
      </c>
      <c r="J289">
        <v>1</v>
      </c>
      <c r="K289">
        <f t="shared" si="21"/>
        <v>1</v>
      </c>
      <c r="L289">
        <v>100</v>
      </c>
      <c r="M289" t="str">
        <f t="shared" si="22"/>
        <v>100</v>
      </c>
      <c r="N289">
        <v>1.5</v>
      </c>
      <c r="O289" s="3">
        <f t="shared" si="23"/>
        <v>1.5</v>
      </c>
      <c r="P289">
        <v>1</v>
      </c>
      <c r="Q289" t="str" cm="1">
        <f t="array" ref="Q289">_xlfn.IFS(ISBLANK(P289),"Not Specified",OR(P289="N",P289=FALSE,P289="no",P289=0),"no",TRUE,"yes")</f>
        <v>yes</v>
      </c>
      <c r="R289" s="5">
        <v>1</v>
      </c>
      <c r="S289">
        <f t="shared" si="24"/>
        <v>100</v>
      </c>
    </row>
    <row r="290" spans="1:19">
      <c r="A290" t="s">
        <v>667</v>
      </c>
      <c r="B290" t="s">
        <v>668</v>
      </c>
      <c r="C290" t="s">
        <v>27</v>
      </c>
      <c r="D290" t="str" cm="1">
        <f t="array" ref="D290">_xlfn.IFS(OR(LOWER(C290)="f",LOWER(C290)="female"),"Female",TRUE,"Male")</f>
        <v>Female</v>
      </c>
      <c r="E290">
        <v>56</v>
      </c>
      <c r="F290">
        <f t="shared" si="20"/>
        <v>56</v>
      </c>
      <c r="G290" t="s">
        <v>100</v>
      </c>
      <c r="H290" t="s">
        <v>101</v>
      </c>
      <c r="I290" t="s">
        <v>121</v>
      </c>
      <c r="J290">
        <v>2</v>
      </c>
      <c r="K290">
        <f t="shared" si="21"/>
        <v>2</v>
      </c>
      <c r="L290">
        <v>30</v>
      </c>
      <c r="M290" t="str">
        <f t="shared" si="22"/>
        <v>30</v>
      </c>
      <c r="N290">
        <v>1.9</v>
      </c>
      <c r="O290" s="3">
        <f t="shared" si="23"/>
        <v>1.9</v>
      </c>
      <c r="P290">
        <v>1</v>
      </c>
      <c r="Q290" t="str" cm="1">
        <f t="array" ref="Q290">_xlfn.IFS(ISBLANK(P290),"Not Specified",OR(P290="N",P290=FALSE,P290="no",P290=0),"no",TRUE,"yes")</f>
        <v>yes</v>
      </c>
      <c r="R290" s="5">
        <v>0.81</v>
      </c>
      <c r="S290">
        <f t="shared" si="24"/>
        <v>81</v>
      </c>
    </row>
    <row r="291" spans="1:19">
      <c r="A291" t="s">
        <v>669</v>
      </c>
      <c r="B291" t="s">
        <v>670</v>
      </c>
      <c r="C291" t="s">
        <v>34</v>
      </c>
      <c r="D291" t="str" cm="1">
        <f t="array" ref="D291">_xlfn.IFS(OR(LOWER(C291)="f",LOWER(C291)="female"),"Female",TRUE,"Male")</f>
        <v>Male</v>
      </c>
      <c r="E291">
        <v>44</v>
      </c>
      <c r="F291">
        <f t="shared" si="20"/>
        <v>44</v>
      </c>
      <c r="G291" t="s">
        <v>74</v>
      </c>
      <c r="H291" t="s">
        <v>29</v>
      </c>
      <c r="I291" t="s">
        <v>24</v>
      </c>
      <c r="J291">
        <v>13</v>
      </c>
      <c r="K291">
        <f t="shared" si="21"/>
        <v>13</v>
      </c>
      <c r="L291">
        <v>100</v>
      </c>
      <c r="M291" t="str">
        <f t="shared" si="22"/>
        <v>100</v>
      </c>
      <c r="N291">
        <v>3.1</v>
      </c>
      <c r="O291" s="3">
        <f t="shared" si="23"/>
        <v>3.1</v>
      </c>
      <c r="P291" t="s">
        <v>81</v>
      </c>
      <c r="Q291" t="str" cm="1">
        <f t="array" ref="Q291">_xlfn.IFS(ISBLANK(P291),"Not Specified",OR(P291="N",P291=FALSE,P291="no",P291=0),"no",TRUE,"yes")</f>
        <v>yes</v>
      </c>
      <c r="R291">
        <v>95</v>
      </c>
      <c r="S291">
        <f t="shared" si="24"/>
        <v>95</v>
      </c>
    </row>
    <row r="292" spans="1:19">
      <c r="A292" t="s">
        <v>671</v>
      </c>
      <c r="B292" t="s">
        <v>672</v>
      </c>
      <c r="C292" t="s">
        <v>104</v>
      </c>
      <c r="D292" t="str" cm="1">
        <f t="array" ref="D292">_xlfn.IFS(OR(LOWER(C292)="f",LOWER(C292)="female"),"Female",TRUE,"Male")</f>
        <v>Male</v>
      </c>
      <c r="E292">
        <v>46</v>
      </c>
      <c r="F292">
        <f t="shared" si="20"/>
        <v>46</v>
      </c>
      <c r="G292" t="s">
        <v>56</v>
      </c>
      <c r="H292" t="s">
        <v>57</v>
      </c>
      <c r="I292" t="s">
        <v>80</v>
      </c>
      <c r="J292">
        <v>0</v>
      </c>
      <c r="K292">
        <f t="shared" si="21"/>
        <v>0</v>
      </c>
      <c r="M292" t="str">
        <f t="shared" si="22"/>
        <v>Not Specified</v>
      </c>
      <c r="N292">
        <v>1.8</v>
      </c>
      <c r="O292" s="3">
        <f t="shared" si="23"/>
        <v>1.8</v>
      </c>
      <c r="P292" t="s">
        <v>38</v>
      </c>
      <c r="Q292" t="str" cm="1">
        <f t="array" ref="Q292">_xlfn.IFS(ISBLANK(P292),"Not Specified",OR(P292="N",P292=FALSE,P292="no",P292=0),"no",TRUE,"yes")</f>
        <v>no</v>
      </c>
      <c r="R292" s="5">
        <v>0.88</v>
      </c>
      <c r="S292">
        <f t="shared" si="24"/>
        <v>88</v>
      </c>
    </row>
    <row r="293" spans="1:19">
      <c r="A293" t="s">
        <v>673</v>
      </c>
      <c r="B293" t="s">
        <v>674</v>
      </c>
      <c r="C293" t="s">
        <v>84</v>
      </c>
      <c r="D293" t="str" cm="1">
        <f t="array" ref="D293">_xlfn.IFS(OR(LOWER(C293)="f",LOWER(C293)="female"),"Female",TRUE,"Male")</f>
        <v>Female</v>
      </c>
      <c r="E293">
        <v>27</v>
      </c>
      <c r="F293">
        <f t="shared" si="20"/>
        <v>27</v>
      </c>
      <c r="G293" t="s">
        <v>92</v>
      </c>
      <c r="H293" t="s">
        <v>93</v>
      </c>
      <c r="I293" t="s">
        <v>42</v>
      </c>
      <c r="J293">
        <v>7</v>
      </c>
      <c r="K293">
        <f t="shared" si="21"/>
        <v>7</v>
      </c>
      <c r="L293">
        <v>30</v>
      </c>
      <c r="M293" t="str">
        <f t="shared" si="22"/>
        <v>30</v>
      </c>
      <c r="N293">
        <v>2.4</v>
      </c>
      <c r="O293" s="3">
        <f t="shared" si="23"/>
        <v>2.4</v>
      </c>
      <c r="P293" t="s">
        <v>75</v>
      </c>
      <c r="Q293" t="str" cm="1">
        <f t="array" ref="Q293">_xlfn.IFS(ISBLANK(P293),"Not Specified",OR(P293="N",P293=FALSE,P293="no",P293=0),"no",TRUE,"yes")</f>
        <v>yes</v>
      </c>
      <c r="R293" s="5">
        <v>0.66</v>
      </c>
      <c r="S293">
        <f t="shared" si="24"/>
        <v>66</v>
      </c>
    </row>
    <row r="294" spans="1:19">
      <c r="A294" t="s">
        <v>675</v>
      </c>
      <c r="B294" t="s">
        <v>676</v>
      </c>
      <c r="C294" t="s">
        <v>27</v>
      </c>
      <c r="D294" t="str" cm="1">
        <f t="array" ref="D294">_xlfn.IFS(OR(LOWER(C294)="f",LOWER(C294)="female"),"Female",TRUE,"Male")</f>
        <v>Female</v>
      </c>
      <c r="E294">
        <v>49</v>
      </c>
      <c r="F294">
        <f t="shared" si="20"/>
        <v>49</v>
      </c>
      <c r="G294" t="s">
        <v>100</v>
      </c>
      <c r="H294" t="s">
        <v>101</v>
      </c>
      <c r="I294" t="s">
        <v>24</v>
      </c>
      <c r="J294">
        <v>13</v>
      </c>
      <c r="K294">
        <f t="shared" si="21"/>
        <v>13</v>
      </c>
      <c r="L294">
        <v>100</v>
      </c>
      <c r="M294" t="str">
        <f t="shared" si="22"/>
        <v>100</v>
      </c>
      <c r="N294">
        <v>4.2</v>
      </c>
      <c r="O294" s="3">
        <f t="shared" si="23"/>
        <v>4.2</v>
      </c>
      <c r="P294">
        <v>1</v>
      </c>
      <c r="Q294" t="str" cm="1">
        <f t="array" ref="Q294">_xlfn.IFS(ISBLANK(P294),"Not Specified",OR(P294="N",P294=FALSE,P294="no",P294=0),"no",TRUE,"yes")</f>
        <v>yes</v>
      </c>
      <c r="R294" s="5">
        <v>0.84</v>
      </c>
      <c r="S294">
        <f t="shared" si="24"/>
        <v>84</v>
      </c>
    </row>
    <row r="295" spans="1:19">
      <c r="A295" t="s">
        <v>677</v>
      </c>
      <c r="B295" t="s">
        <v>678</v>
      </c>
      <c r="C295" t="s">
        <v>104</v>
      </c>
      <c r="D295" t="str" cm="1">
        <f t="array" ref="D295">_xlfn.IFS(OR(LOWER(C295)="f",LOWER(C295)="female"),"Female",TRUE,"Male")</f>
        <v>Male</v>
      </c>
      <c r="E295">
        <v>53</v>
      </c>
      <c r="F295">
        <f t="shared" si="20"/>
        <v>53</v>
      </c>
      <c r="G295" t="s">
        <v>186</v>
      </c>
      <c r="H295" t="s">
        <v>79</v>
      </c>
      <c r="I295" t="s">
        <v>42</v>
      </c>
      <c r="J295">
        <v>21</v>
      </c>
      <c r="K295">
        <f t="shared" si="21"/>
        <v>21</v>
      </c>
      <c r="L295" t="s">
        <v>71</v>
      </c>
      <c r="M295" t="str">
        <f t="shared" si="22"/>
        <v>50</v>
      </c>
      <c r="N295">
        <v>1.4</v>
      </c>
      <c r="O295" s="3">
        <f t="shared" si="23"/>
        <v>1.4</v>
      </c>
      <c r="P295" t="s">
        <v>38</v>
      </c>
      <c r="Q295" t="str" cm="1">
        <f t="array" ref="Q295">_xlfn.IFS(ISBLANK(P295),"Not Specified",OR(P295="N",P295=FALSE,P295="no",P295=0),"no",TRUE,"yes")</f>
        <v>no</v>
      </c>
      <c r="S295" t="str">
        <f t="shared" si="24"/>
        <v>Not Specified</v>
      </c>
    </row>
    <row r="296" spans="1:19">
      <c r="A296" t="s">
        <v>679</v>
      </c>
      <c r="B296" t="s">
        <v>680</v>
      </c>
      <c r="C296" t="s">
        <v>104</v>
      </c>
      <c r="D296" t="str" cm="1">
        <f t="array" ref="D296">_xlfn.IFS(OR(LOWER(C296)="f",LOWER(C296)="female"),"Female",TRUE,"Male")</f>
        <v>Male</v>
      </c>
      <c r="E296">
        <v>56</v>
      </c>
      <c r="F296">
        <f t="shared" si="20"/>
        <v>56</v>
      </c>
      <c r="G296" t="s">
        <v>28</v>
      </c>
      <c r="H296" t="s">
        <v>29</v>
      </c>
      <c r="I296" t="s">
        <v>42</v>
      </c>
      <c r="J296">
        <v>19</v>
      </c>
      <c r="K296">
        <f t="shared" si="21"/>
        <v>19</v>
      </c>
      <c r="L296">
        <v>40</v>
      </c>
      <c r="M296" t="str">
        <f t="shared" si="22"/>
        <v>40</v>
      </c>
      <c r="N296">
        <v>1.2</v>
      </c>
      <c r="O296" s="3">
        <f t="shared" si="23"/>
        <v>1.2</v>
      </c>
      <c r="P296" t="s">
        <v>81</v>
      </c>
      <c r="Q296" t="str" cm="1">
        <f t="array" ref="Q296">_xlfn.IFS(ISBLANK(P296),"Not Specified",OR(P296="N",P296=FALSE,P296="no",P296=0),"no",TRUE,"yes")</f>
        <v>yes</v>
      </c>
      <c r="R296" s="5">
        <v>0.82</v>
      </c>
      <c r="S296">
        <f t="shared" si="24"/>
        <v>82</v>
      </c>
    </row>
    <row r="297" spans="1:19">
      <c r="A297" t="s">
        <v>681</v>
      </c>
      <c r="B297" t="s">
        <v>682</v>
      </c>
      <c r="C297" t="s">
        <v>27</v>
      </c>
      <c r="D297" t="str" cm="1">
        <f t="array" ref="D297">_xlfn.IFS(OR(LOWER(C297)="f",LOWER(C297)="female"),"Female",TRUE,"Male")</f>
        <v>Female</v>
      </c>
      <c r="E297">
        <v>56</v>
      </c>
      <c r="F297">
        <f t="shared" si="20"/>
        <v>56</v>
      </c>
      <c r="G297" t="s">
        <v>74</v>
      </c>
      <c r="H297" t="s">
        <v>29</v>
      </c>
      <c r="I297" t="s">
        <v>96</v>
      </c>
      <c r="J297">
        <v>34</v>
      </c>
      <c r="K297">
        <f t="shared" si="21"/>
        <v>34</v>
      </c>
      <c r="M297" t="str">
        <f t="shared" si="22"/>
        <v>Not Specified</v>
      </c>
      <c r="N297">
        <v>2.1</v>
      </c>
      <c r="O297" s="3">
        <f t="shared" si="23"/>
        <v>2.1</v>
      </c>
      <c r="P297" t="s">
        <v>75</v>
      </c>
      <c r="Q297" t="str" cm="1">
        <f t="array" ref="Q297">_xlfn.IFS(ISBLANK(P297),"Not Specified",OR(P297="N",P297=FALSE,P297="no",P297=0),"no",TRUE,"yes")</f>
        <v>yes</v>
      </c>
      <c r="R297" s="5">
        <v>0.84</v>
      </c>
      <c r="S297">
        <f t="shared" si="24"/>
        <v>84</v>
      </c>
    </row>
    <row r="298" spans="1:19">
      <c r="A298" t="s">
        <v>683</v>
      </c>
      <c r="B298" t="s">
        <v>684</v>
      </c>
      <c r="C298" t="s">
        <v>68</v>
      </c>
      <c r="D298" t="str" cm="1">
        <f t="array" ref="D298">_xlfn.IFS(OR(LOWER(C298)="f",LOWER(C298)="female"),"Female",TRUE,"Male")</f>
        <v>Male</v>
      </c>
      <c r="E298">
        <v>38</v>
      </c>
      <c r="F298">
        <f t="shared" si="20"/>
        <v>38</v>
      </c>
      <c r="G298" t="s">
        <v>160</v>
      </c>
      <c r="H298" t="s">
        <v>161</v>
      </c>
      <c r="I298" t="s">
        <v>58</v>
      </c>
      <c r="J298">
        <v>3</v>
      </c>
      <c r="K298">
        <f t="shared" si="21"/>
        <v>3</v>
      </c>
      <c r="L298">
        <v>100</v>
      </c>
      <c r="M298" t="str">
        <f t="shared" si="22"/>
        <v>100</v>
      </c>
      <c r="N298">
        <v>1.4</v>
      </c>
      <c r="O298" s="3">
        <f t="shared" si="23"/>
        <v>1.4</v>
      </c>
      <c r="P298" t="b">
        <v>0</v>
      </c>
      <c r="Q298" t="str" cm="1">
        <f t="array" ref="Q298">_xlfn.IFS(ISBLANK(P298),"Not Specified",OR(P298="N",P298=FALSE,P298="no",P298=0),"no",TRUE,"yes")</f>
        <v>no</v>
      </c>
      <c r="R298" s="5">
        <v>0.73</v>
      </c>
      <c r="S298">
        <f t="shared" si="24"/>
        <v>73</v>
      </c>
    </row>
    <row r="299" spans="1:19">
      <c r="A299" t="s">
        <v>685</v>
      </c>
      <c r="B299" t="s">
        <v>686</v>
      </c>
      <c r="C299" t="s">
        <v>99</v>
      </c>
      <c r="D299" t="str" cm="1">
        <f t="array" ref="D299">_xlfn.IFS(OR(LOWER(C299)="f",LOWER(C299)="female"),"Female",TRUE,"Male")</f>
        <v>Male</v>
      </c>
      <c r="E299">
        <v>20</v>
      </c>
      <c r="F299">
        <f t="shared" si="20"/>
        <v>20</v>
      </c>
      <c r="G299" t="s">
        <v>119</v>
      </c>
      <c r="H299" t="s">
        <v>120</v>
      </c>
      <c r="I299" t="s">
        <v>30</v>
      </c>
      <c r="J299">
        <v>0</v>
      </c>
      <c r="K299">
        <f t="shared" si="21"/>
        <v>0</v>
      </c>
      <c r="L299">
        <v>30</v>
      </c>
      <c r="M299" t="str">
        <f t="shared" si="22"/>
        <v>30</v>
      </c>
      <c r="N299">
        <v>3.8</v>
      </c>
      <c r="O299" s="3">
        <f t="shared" si="23"/>
        <v>3.8</v>
      </c>
      <c r="Q299" t="str" cm="1">
        <f t="array" ref="Q299">_xlfn.IFS(ISBLANK(P299),"Not Specified",OR(P299="N",P299=FALSE,P299="no",P299=0),"no",TRUE,"yes")</f>
        <v>Not Specified</v>
      </c>
      <c r="R299" s="5">
        <v>0.93</v>
      </c>
      <c r="S299">
        <f t="shared" si="24"/>
        <v>93</v>
      </c>
    </row>
    <row r="300" spans="1:19">
      <c r="A300" t="s">
        <v>687</v>
      </c>
      <c r="B300" t="s">
        <v>688</v>
      </c>
      <c r="C300" t="s">
        <v>46</v>
      </c>
      <c r="D300" t="str" cm="1">
        <f t="array" ref="D300">_xlfn.IFS(OR(LOWER(C300)="f",LOWER(C300)="female"),"Female",TRUE,"Male")</f>
        <v>Female</v>
      </c>
      <c r="E300">
        <v>38</v>
      </c>
      <c r="F300">
        <f t="shared" si="20"/>
        <v>38</v>
      </c>
      <c r="G300" t="s">
        <v>135</v>
      </c>
      <c r="H300" t="s">
        <v>29</v>
      </c>
      <c r="I300" t="s">
        <v>121</v>
      </c>
      <c r="J300">
        <v>20</v>
      </c>
      <c r="K300">
        <f t="shared" si="21"/>
        <v>20</v>
      </c>
      <c r="L300">
        <v>50</v>
      </c>
      <c r="M300" t="str">
        <f t="shared" si="22"/>
        <v>50</v>
      </c>
      <c r="N300">
        <v>0</v>
      </c>
      <c r="O300" s="3" t="str">
        <f t="shared" si="23"/>
        <v>Not Specified</v>
      </c>
      <c r="Q300" t="str" cm="1">
        <f t="array" ref="Q300">_xlfn.IFS(ISBLANK(P300),"Not Specified",OR(P300="N",P300=FALSE,P300="no",P300=0),"no",TRUE,"yes")</f>
        <v>Not Specified</v>
      </c>
      <c r="R300" s="5">
        <v>0.64</v>
      </c>
      <c r="S300">
        <f t="shared" si="24"/>
        <v>64</v>
      </c>
    </row>
    <row r="301" spans="1:19">
      <c r="A301" t="s">
        <v>689</v>
      </c>
      <c r="B301" t="s">
        <v>690</v>
      </c>
      <c r="C301" t="s">
        <v>21</v>
      </c>
      <c r="D301" t="str" cm="1">
        <f t="array" ref="D301">_xlfn.IFS(OR(LOWER(C301)="f",LOWER(C301)="female"),"Female",TRUE,"Male")</f>
        <v>Female</v>
      </c>
      <c r="F301" t="str">
        <f t="shared" si="20"/>
        <v>Not Specified</v>
      </c>
      <c r="G301" t="s">
        <v>49</v>
      </c>
      <c r="H301" t="s">
        <v>50</v>
      </c>
      <c r="I301" t="s">
        <v>30</v>
      </c>
      <c r="J301">
        <v>6</v>
      </c>
      <c r="K301">
        <f t="shared" si="21"/>
        <v>6</v>
      </c>
      <c r="L301">
        <v>40</v>
      </c>
      <c r="M301" t="str">
        <f t="shared" si="22"/>
        <v>40</v>
      </c>
      <c r="N301">
        <v>3.5</v>
      </c>
      <c r="O301" s="3">
        <f t="shared" si="23"/>
        <v>3.5</v>
      </c>
      <c r="P301">
        <v>0</v>
      </c>
      <c r="Q301" t="str" cm="1">
        <f t="array" ref="Q301">_xlfn.IFS(ISBLANK(P301),"Not Specified",OR(P301="N",P301=FALSE,P301="no",P301=0),"no",TRUE,"yes")</f>
        <v>no</v>
      </c>
      <c r="R301" s="5">
        <v>0.76</v>
      </c>
      <c r="S301">
        <f t="shared" si="24"/>
        <v>76</v>
      </c>
    </row>
    <row r="302" spans="1:19">
      <c r="A302" t="s">
        <v>691</v>
      </c>
      <c r="B302" t="s">
        <v>692</v>
      </c>
      <c r="C302" t="s">
        <v>68</v>
      </c>
      <c r="D302" t="str" cm="1">
        <f t="array" ref="D302">_xlfn.IFS(OR(LOWER(C302)="f",LOWER(C302)="female"),"Female",TRUE,"Male")</f>
        <v>Male</v>
      </c>
      <c r="E302">
        <v>46</v>
      </c>
      <c r="F302">
        <f t="shared" si="20"/>
        <v>46</v>
      </c>
      <c r="G302" t="s">
        <v>100</v>
      </c>
      <c r="H302" t="s">
        <v>101</v>
      </c>
      <c r="I302" t="s">
        <v>121</v>
      </c>
      <c r="J302">
        <v>13</v>
      </c>
      <c r="K302">
        <f t="shared" si="21"/>
        <v>13</v>
      </c>
      <c r="L302" t="s">
        <v>236</v>
      </c>
      <c r="M302" t="str">
        <f t="shared" si="22"/>
        <v>100</v>
      </c>
      <c r="N302">
        <v>0</v>
      </c>
      <c r="O302" s="3" t="str">
        <f t="shared" si="23"/>
        <v>Not Specified</v>
      </c>
      <c r="P302" t="s">
        <v>81</v>
      </c>
      <c r="Q302" t="str" cm="1">
        <f t="array" ref="Q302">_xlfn.IFS(ISBLANK(P302),"Not Specified",OR(P302="N",P302=FALSE,P302="no",P302=0),"no",TRUE,"yes")</f>
        <v>yes</v>
      </c>
      <c r="R302" s="5">
        <v>0.97</v>
      </c>
      <c r="S302">
        <f t="shared" si="24"/>
        <v>97</v>
      </c>
    </row>
    <row r="303" spans="1:19">
      <c r="A303" t="s">
        <v>693</v>
      </c>
      <c r="B303" t="s">
        <v>694</v>
      </c>
      <c r="C303" t="s">
        <v>104</v>
      </c>
      <c r="D303" t="str" cm="1">
        <f t="array" ref="D303">_xlfn.IFS(OR(LOWER(C303)="f",LOWER(C303)="female"),"Female",TRUE,"Male")</f>
        <v>Male</v>
      </c>
      <c r="E303">
        <v>36</v>
      </c>
      <c r="F303">
        <f t="shared" si="20"/>
        <v>36</v>
      </c>
      <c r="G303" t="s">
        <v>160</v>
      </c>
      <c r="H303" t="s">
        <v>161</v>
      </c>
      <c r="I303" t="s">
        <v>58</v>
      </c>
      <c r="J303">
        <v>9</v>
      </c>
      <c r="K303">
        <f t="shared" si="21"/>
        <v>9</v>
      </c>
      <c r="L303">
        <v>75</v>
      </c>
      <c r="M303" t="str">
        <f t="shared" si="22"/>
        <v>75</v>
      </c>
      <c r="N303">
        <v>2.2</v>
      </c>
      <c r="O303" s="3">
        <f t="shared" si="23"/>
        <v>2.2</v>
      </c>
      <c r="P303">
        <v>0</v>
      </c>
      <c r="Q303" t="str" cm="1">
        <f t="array" ref="Q303">_xlfn.IFS(ISBLANK(P303),"Not Specified",OR(P303="N",P303=FALSE,P303="no",P303=0),"no",TRUE,"yes")</f>
        <v>no</v>
      </c>
      <c r="R303" s="5">
        <v>0.95</v>
      </c>
      <c r="S303">
        <f t="shared" si="24"/>
        <v>95</v>
      </c>
    </row>
    <row r="304" spans="1:19">
      <c r="A304" t="s">
        <v>695</v>
      </c>
      <c r="B304" t="s">
        <v>696</v>
      </c>
      <c r="C304" t="s">
        <v>104</v>
      </c>
      <c r="D304" t="str" cm="1">
        <f t="array" ref="D304">_xlfn.IFS(OR(LOWER(C304)="f",LOWER(C304)="female"),"Female",TRUE,"Male")</f>
        <v>Male</v>
      </c>
      <c r="E304">
        <v>33</v>
      </c>
      <c r="F304">
        <f t="shared" si="20"/>
        <v>33</v>
      </c>
      <c r="G304" t="s">
        <v>131</v>
      </c>
      <c r="H304" t="s">
        <v>132</v>
      </c>
      <c r="I304" t="s">
        <v>42</v>
      </c>
      <c r="J304">
        <v>2</v>
      </c>
      <c r="K304">
        <f t="shared" si="21"/>
        <v>2</v>
      </c>
      <c r="L304">
        <v>75</v>
      </c>
      <c r="M304" t="str">
        <f t="shared" si="22"/>
        <v>75</v>
      </c>
      <c r="N304">
        <v>2.5</v>
      </c>
      <c r="O304" s="3">
        <f t="shared" si="23"/>
        <v>2.5</v>
      </c>
      <c r="P304" t="b">
        <v>0</v>
      </c>
      <c r="Q304" t="str" cm="1">
        <f t="array" ref="Q304">_xlfn.IFS(ISBLANK(P304),"Not Specified",OR(P304="N",P304=FALSE,P304="no",P304=0),"no",TRUE,"yes")</f>
        <v>no</v>
      </c>
      <c r="R304" s="5">
        <v>0.65</v>
      </c>
      <c r="S304">
        <f t="shared" si="24"/>
        <v>65</v>
      </c>
    </row>
    <row r="305" spans="1:19">
      <c r="A305" t="s">
        <v>697</v>
      </c>
      <c r="B305" t="s">
        <v>698</v>
      </c>
      <c r="C305" t="s">
        <v>41</v>
      </c>
      <c r="D305" t="str" cm="1">
        <f t="array" ref="D305">_xlfn.IFS(OR(LOWER(C305)="f",LOWER(C305)="female"),"Female",TRUE,"Male")</f>
        <v>Female</v>
      </c>
      <c r="E305">
        <v>37</v>
      </c>
      <c r="F305">
        <f t="shared" si="20"/>
        <v>37</v>
      </c>
      <c r="G305" t="s">
        <v>135</v>
      </c>
      <c r="H305" t="s">
        <v>29</v>
      </c>
      <c r="I305" t="s">
        <v>37</v>
      </c>
      <c r="J305">
        <v>0</v>
      </c>
      <c r="K305">
        <f t="shared" si="21"/>
        <v>0</v>
      </c>
      <c r="L305" t="s">
        <v>105</v>
      </c>
      <c r="M305" t="str">
        <f t="shared" si="22"/>
        <v> 50</v>
      </c>
      <c r="N305">
        <v>4.7</v>
      </c>
      <c r="O305" s="3">
        <f t="shared" si="23"/>
        <v>4.7</v>
      </c>
      <c r="P305">
        <v>0</v>
      </c>
      <c r="Q305" t="str" cm="1">
        <f t="array" ref="Q305">_xlfn.IFS(ISBLANK(P305),"Not Specified",OR(P305="N",P305=FALSE,P305="no",P305=0),"no",TRUE,"yes")</f>
        <v>no</v>
      </c>
      <c r="R305" s="5">
        <v>0.77</v>
      </c>
      <c r="S305">
        <f t="shared" si="24"/>
        <v>77</v>
      </c>
    </row>
    <row r="306" spans="1:19">
      <c r="A306" t="s">
        <v>699</v>
      </c>
      <c r="B306" t="s">
        <v>700</v>
      </c>
      <c r="C306" t="s">
        <v>104</v>
      </c>
      <c r="D306" t="str" cm="1">
        <f t="array" ref="D306">_xlfn.IFS(OR(LOWER(C306)="f",LOWER(C306)="female"),"Female",TRUE,"Male")</f>
        <v>Male</v>
      </c>
      <c r="E306">
        <v>20</v>
      </c>
      <c r="F306">
        <f t="shared" si="20"/>
        <v>20</v>
      </c>
      <c r="G306" t="s">
        <v>146</v>
      </c>
      <c r="H306" t="s">
        <v>147</v>
      </c>
      <c r="I306" t="s">
        <v>58</v>
      </c>
      <c r="J306">
        <v>0</v>
      </c>
      <c r="K306">
        <f t="shared" si="21"/>
        <v>0</v>
      </c>
      <c r="L306">
        <v>20</v>
      </c>
      <c r="M306" t="str">
        <f t="shared" si="22"/>
        <v>20</v>
      </c>
      <c r="N306">
        <v>3.9</v>
      </c>
      <c r="O306" s="3">
        <f t="shared" si="23"/>
        <v>3.9</v>
      </c>
      <c r="P306" t="b">
        <v>0</v>
      </c>
      <c r="Q306" t="str" cm="1">
        <f t="array" ref="Q306">_xlfn.IFS(ISBLANK(P306),"Not Specified",OR(P306="N",P306=FALSE,P306="no",P306=0),"no",TRUE,"yes")</f>
        <v>no</v>
      </c>
      <c r="S306" t="str">
        <f t="shared" si="24"/>
        <v>Not Specified</v>
      </c>
    </row>
    <row r="307" spans="1:19">
      <c r="A307" t="s">
        <v>701</v>
      </c>
      <c r="B307" t="s">
        <v>702</v>
      </c>
      <c r="C307" t="s">
        <v>27</v>
      </c>
      <c r="D307" t="str" cm="1">
        <f t="array" ref="D307">_xlfn.IFS(OR(LOWER(C307)="f",LOWER(C307)="female"),"Female",TRUE,"Male")</f>
        <v>Female</v>
      </c>
      <c r="E307">
        <v>48</v>
      </c>
      <c r="F307">
        <f t="shared" si="20"/>
        <v>48</v>
      </c>
      <c r="G307" t="s">
        <v>182</v>
      </c>
      <c r="H307" t="s">
        <v>183</v>
      </c>
      <c r="I307" t="s">
        <v>58</v>
      </c>
      <c r="J307">
        <v>2</v>
      </c>
      <c r="K307">
        <f t="shared" si="21"/>
        <v>2</v>
      </c>
      <c r="L307">
        <v>75</v>
      </c>
      <c r="M307" t="str">
        <f t="shared" si="22"/>
        <v>75</v>
      </c>
      <c r="N307">
        <v>1.6</v>
      </c>
      <c r="O307" s="3">
        <f t="shared" si="23"/>
        <v>1.6</v>
      </c>
      <c r="P307" t="s">
        <v>38</v>
      </c>
      <c r="Q307" t="str" cm="1">
        <f t="array" ref="Q307">_xlfn.IFS(ISBLANK(P307),"Not Specified",OR(P307="N",P307=FALSE,P307="no",P307=0),"no",TRUE,"yes")</f>
        <v>no</v>
      </c>
      <c r="R307" s="5">
        <v>0.67</v>
      </c>
      <c r="S307">
        <f t="shared" si="24"/>
        <v>67</v>
      </c>
    </row>
    <row r="308" spans="1:19">
      <c r="A308" t="s">
        <v>703</v>
      </c>
      <c r="B308" t="s">
        <v>704</v>
      </c>
      <c r="C308" t="s">
        <v>34</v>
      </c>
      <c r="D308" t="str" cm="1">
        <f t="array" ref="D308">_xlfn.IFS(OR(LOWER(C308)="f",LOWER(C308)="female"),"Female",TRUE,"Male")</f>
        <v>Male</v>
      </c>
      <c r="E308">
        <v>27</v>
      </c>
      <c r="F308">
        <f t="shared" si="20"/>
        <v>27</v>
      </c>
      <c r="G308" t="s">
        <v>142</v>
      </c>
      <c r="H308" t="s">
        <v>143</v>
      </c>
      <c r="I308" t="s">
        <v>85</v>
      </c>
      <c r="J308">
        <v>2</v>
      </c>
      <c r="K308">
        <f t="shared" si="21"/>
        <v>2</v>
      </c>
      <c r="L308" t="s">
        <v>71</v>
      </c>
      <c r="M308" t="str">
        <f t="shared" si="22"/>
        <v>50</v>
      </c>
      <c r="O308" s="3" t="str">
        <f t="shared" si="23"/>
        <v>Not Specified</v>
      </c>
      <c r="P308">
        <v>0</v>
      </c>
      <c r="Q308" t="str" cm="1">
        <f t="array" ref="Q308">_xlfn.IFS(ISBLANK(P308),"Not Specified",OR(P308="N",P308=FALSE,P308="no",P308=0),"no",TRUE,"yes")</f>
        <v>no</v>
      </c>
      <c r="R308" s="5">
        <v>0.84</v>
      </c>
      <c r="S308">
        <f t="shared" si="24"/>
        <v>84</v>
      </c>
    </row>
    <row r="309" spans="1:19">
      <c r="A309" t="s">
        <v>705</v>
      </c>
      <c r="B309" t="s">
        <v>706</v>
      </c>
      <c r="C309" t="s">
        <v>99</v>
      </c>
      <c r="D309" t="str" cm="1">
        <f t="array" ref="D309">_xlfn.IFS(OR(LOWER(C309)="f",LOWER(C309)="female"),"Female",TRUE,"Male")</f>
        <v>Male</v>
      </c>
      <c r="E309">
        <v>34</v>
      </c>
      <c r="F309">
        <f t="shared" si="20"/>
        <v>34</v>
      </c>
      <c r="G309" t="s">
        <v>119</v>
      </c>
      <c r="H309" t="s">
        <v>120</v>
      </c>
      <c r="I309" t="s">
        <v>30</v>
      </c>
      <c r="J309">
        <v>1</v>
      </c>
      <c r="K309">
        <f t="shared" si="21"/>
        <v>1</v>
      </c>
      <c r="L309">
        <v>30</v>
      </c>
      <c r="M309" t="str">
        <f t="shared" si="22"/>
        <v>30</v>
      </c>
      <c r="N309">
        <v>3.6</v>
      </c>
      <c r="O309" s="3">
        <f t="shared" si="23"/>
        <v>3.6</v>
      </c>
      <c r="P309">
        <v>1</v>
      </c>
      <c r="Q309" t="str" cm="1">
        <f t="array" ref="Q309">_xlfn.IFS(ISBLANK(P309),"Not Specified",OR(P309="N",P309=FALSE,P309="no",P309=0),"no",TRUE,"yes")</f>
        <v>yes</v>
      </c>
      <c r="R309" s="5">
        <v>0.87</v>
      </c>
      <c r="S309">
        <f t="shared" si="24"/>
        <v>87</v>
      </c>
    </row>
    <row r="310" spans="1:19">
      <c r="A310" t="s">
        <v>707</v>
      </c>
      <c r="B310" t="s">
        <v>708</v>
      </c>
      <c r="C310" t="s">
        <v>104</v>
      </c>
      <c r="D310" t="str" cm="1">
        <f t="array" ref="D310">_xlfn.IFS(OR(LOWER(C310)="f",LOWER(C310)="female"),"Female",TRUE,"Male")</f>
        <v>Male</v>
      </c>
      <c r="E310">
        <v>55</v>
      </c>
      <c r="F310">
        <f t="shared" si="20"/>
        <v>55</v>
      </c>
      <c r="G310" t="s">
        <v>114</v>
      </c>
      <c r="H310" t="s">
        <v>115</v>
      </c>
      <c r="I310" t="s">
        <v>121</v>
      </c>
      <c r="J310">
        <v>14</v>
      </c>
      <c r="K310">
        <f t="shared" si="21"/>
        <v>14</v>
      </c>
      <c r="L310" t="s">
        <v>116</v>
      </c>
      <c r="M310" t="str">
        <f t="shared" si="22"/>
        <v> 30</v>
      </c>
      <c r="N310">
        <v>1.2</v>
      </c>
      <c r="O310" s="3">
        <f t="shared" si="23"/>
        <v>1.2</v>
      </c>
      <c r="P310" t="s">
        <v>75</v>
      </c>
      <c r="Q310" t="str" cm="1">
        <f t="array" ref="Q310">_xlfn.IFS(ISBLANK(P310),"Not Specified",OR(P310="N",P310=FALSE,P310="no",P310=0),"no",TRUE,"yes")</f>
        <v>yes</v>
      </c>
      <c r="R310" s="5">
        <v>0.91</v>
      </c>
      <c r="S310">
        <f t="shared" si="24"/>
        <v>91</v>
      </c>
    </row>
    <row r="311" spans="1:19">
      <c r="A311" t="s">
        <v>709</v>
      </c>
      <c r="B311" t="s">
        <v>710</v>
      </c>
      <c r="C311" t="s">
        <v>41</v>
      </c>
      <c r="D311" t="str" cm="1">
        <f t="array" ref="D311">_xlfn.IFS(OR(LOWER(C311)="f",LOWER(C311)="female"),"Female",TRUE,"Male")</f>
        <v>Female</v>
      </c>
      <c r="E311">
        <v>44</v>
      </c>
      <c r="F311">
        <f t="shared" si="20"/>
        <v>44</v>
      </c>
      <c r="G311" t="s">
        <v>160</v>
      </c>
      <c r="H311" t="s">
        <v>161</v>
      </c>
      <c r="I311" t="s">
        <v>121</v>
      </c>
      <c r="J311">
        <v>14</v>
      </c>
      <c r="K311">
        <f t="shared" si="21"/>
        <v>14</v>
      </c>
      <c r="L311" t="s">
        <v>59</v>
      </c>
      <c r="M311" t="str">
        <f t="shared" si="22"/>
        <v> 75</v>
      </c>
      <c r="N311">
        <v>3</v>
      </c>
      <c r="O311" s="3">
        <f t="shared" si="23"/>
        <v>3</v>
      </c>
      <c r="P311">
        <v>0</v>
      </c>
      <c r="Q311" t="str" cm="1">
        <f t="array" ref="Q311">_xlfn.IFS(ISBLANK(P311),"Not Specified",OR(P311="N",P311=FALSE,P311="no",P311=0),"no",TRUE,"yes")</f>
        <v>no</v>
      </c>
      <c r="R311" s="5">
        <v>0.78</v>
      </c>
      <c r="S311">
        <f t="shared" si="24"/>
        <v>78</v>
      </c>
    </row>
    <row r="312" spans="1:19">
      <c r="A312" t="s">
        <v>711</v>
      </c>
      <c r="B312" t="s">
        <v>712</v>
      </c>
      <c r="C312" t="s">
        <v>34</v>
      </c>
      <c r="D312" t="str" cm="1">
        <f t="array" ref="D312">_xlfn.IFS(OR(LOWER(C312)="f",LOWER(C312)="female"),"Female",TRUE,"Male")</f>
        <v>Male</v>
      </c>
      <c r="E312">
        <v>31</v>
      </c>
      <c r="F312">
        <f t="shared" si="20"/>
        <v>31</v>
      </c>
      <c r="G312" t="s">
        <v>49</v>
      </c>
      <c r="H312" t="s">
        <v>50</v>
      </c>
      <c r="I312" t="s">
        <v>80</v>
      </c>
      <c r="J312">
        <v>2</v>
      </c>
      <c r="K312">
        <f t="shared" si="21"/>
        <v>2</v>
      </c>
      <c r="L312">
        <v>50</v>
      </c>
      <c r="M312" t="str">
        <f t="shared" si="22"/>
        <v>50</v>
      </c>
      <c r="N312">
        <v>3.9</v>
      </c>
      <c r="O312" s="3">
        <f t="shared" si="23"/>
        <v>3.9</v>
      </c>
      <c r="P312">
        <v>0</v>
      </c>
      <c r="Q312" t="str" cm="1">
        <f t="array" ref="Q312">_xlfn.IFS(ISBLANK(P312),"Not Specified",OR(P312="N",P312=FALSE,P312="no",P312=0),"no",TRUE,"yes")</f>
        <v>no</v>
      </c>
      <c r="S312" t="str">
        <f t="shared" si="24"/>
        <v>Not Specified</v>
      </c>
    </row>
    <row r="313" spans="1:19">
      <c r="A313" t="s">
        <v>713</v>
      </c>
      <c r="B313" t="s">
        <v>714</v>
      </c>
      <c r="C313" t="s">
        <v>55</v>
      </c>
      <c r="D313" t="str" cm="1">
        <f t="array" ref="D313">_xlfn.IFS(OR(LOWER(C313)="f",LOWER(C313)="female"),"Female",TRUE,"Male")</f>
        <v>Male</v>
      </c>
      <c r="E313">
        <v>34</v>
      </c>
      <c r="F313">
        <f t="shared" si="20"/>
        <v>34</v>
      </c>
      <c r="G313" t="s">
        <v>28</v>
      </c>
      <c r="H313" t="s">
        <v>29</v>
      </c>
      <c r="I313" t="s">
        <v>96</v>
      </c>
      <c r="J313">
        <v>1</v>
      </c>
      <c r="K313">
        <f t="shared" si="21"/>
        <v>1</v>
      </c>
      <c r="L313">
        <v>40</v>
      </c>
      <c r="M313" t="str">
        <f t="shared" si="22"/>
        <v>40</v>
      </c>
      <c r="N313">
        <v>1.7</v>
      </c>
      <c r="O313" s="3">
        <f t="shared" si="23"/>
        <v>1.7</v>
      </c>
      <c r="Q313" t="str" cm="1">
        <f t="array" ref="Q313">_xlfn.IFS(ISBLANK(P313),"Not Specified",OR(P313="N",P313=FALSE,P313="no",P313=0),"no",TRUE,"yes")</f>
        <v>Not Specified</v>
      </c>
      <c r="R313">
        <v>74</v>
      </c>
      <c r="S313">
        <f t="shared" si="24"/>
        <v>74</v>
      </c>
    </row>
    <row r="314" spans="1:19">
      <c r="A314" t="s">
        <v>715</v>
      </c>
      <c r="B314" t="s">
        <v>716</v>
      </c>
      <c r="C314" t="s">
        <v>41</v>
      </c>
      <c r="D314" t="str" cm="1">
        <f t="array" ref="D314">_xlfn.IFS(OR(LOWER(C314)="f",LOWER(C314)="female"),"Female",TRUE,"Male")</f>
        <v>Female</v>
      </c>
      <c r="E314">
        <v>47</v>
      </c>
      <c r="F314">
        <f t="shared" si="20"/>
        <v>47</v>
      </c>
      <c r="G314" t="s">
        <v>114</v>
      </c>
      <c r="H314" t="s">
        <v>115</v>
      </c>
      <c r="I314" t="s">
        <v>96</v>
      </c>
      <c r="J314">
        <v>13</v>
      </c>
      <c r="K314">
        <f t="shared" si="21"/>
        <v>13</v>
      </c>
      <c r="L314">
        <v>20</v>
      </c>
      <c r="M314" t="str">
        <f t="shared" si="22"/>
        <v>20</v>
      </c>
      <c r="N314">
        <v>4.5</v>
      </c>
      <c r="O314" s="3">
        <f t="shared" si="23"/>
        <v>4.5</v>
      </c>
      <c r="Q314" t="str" cm="1">
        <f t="array" ref="Q314">_xlfn.IFS(ISBLANK(P314),"Not Specified",OR(P314="N",P314=FALSE,P314="no",P314=0),"no",TRUE,"yes")</f>
        <v>Not Specified</v>
      </c>
      <c r="R314" s="5">
        <v>0.91</v>
      </c>
      <c r="S314">
        <f t="shared" si="24"/>
        <v>91</v>
      </c>
    </row>
    <row r="315" spans="1:19">
      <c r="A315" t="s">
        <v>717</v>
      </c>
      <c r="B315" t="s">
        <v>718</v>
      </c>
      <c r="C315" t="s">
        <v>55</v>
      </c>
      <c r="D315" t="str" cm="1">
        <f t="array" ref="D315">_xlfn.IFS(OR(LOWER(C315)="f",LOWER(C315)="female"),"Female",TRUE,"Male")</f>
        <v>Male</v>
      </c>
      <c r="E315">
        <v>50</v>
      </c>
      <c r="F315">
        <f t="shared" si="20"/>
        <v>50</v>
      </c>
      <c r="G315" t="s">
        <v>65</v>
      </c>
      <c r="H315" t="s">
        <v>29</v>
      </c>
      <c r="I315" t="s">
        <v>37</v>
      </c>
      <c r="J315">
        <v>23</v>
      </c>
      <c r="K315">
        <f t="shared" si="21"/>
        <v>23</v>
      </c>
      <c r="L315" t="s">
        <v>43</v>
      </c>
      <c r="M315" t="str">
        <f t="shared" si="22"/>
        <v>40</v>
      </c>
      <c r="N315">
        <v>3.6</v>
      </c>
      <c r="O315" s="3">
        <f t="shared" si="23"/>
        <v>3.6</v>
      </c>
      <c r="P315" t="b">
        <v>1</v>
      </c>
      <c r="Q315" t="str" cm="1">
        <f t="array" ref="Q315">_xlfn.IFS(ISBLANK(P315),"Not Specified",OR(P315="N",P315=FALSE,P315="no",P315=0),"no",TRUE,"yes")</f>
        <v>yes</v>
      </c>
      <c r="R315" s="5">
        <v>0.71</v>
      </c>
      <c r="S315">
        <f t="shared" si="24"/>
        <v>71</v>
      </c>
    </row>
    <row r="316" spans="1:19">
      <c r="A316" t="s">
        <v>719</v>
      </c>
      <c r="B316" t="s">
        <v>720</v>
      </c>
      <c r="C316" t="s">
        <v>99</v>
      </c>
      <c r="D316" t="str" cm="1">
        <f t="array" ref="D316">_xlfn.IFS(OR(LOWER(C316)="f",LOWER(C316)="female"),"Female",TRUE,"Male")</f>
        <v>Male</v>
      </c>
      <c r="E316">
        <v>39</v>
      </c>
      <c r="F316">
        <f t="shared" si="20"/>
        <v>39</v>
      </c>
      <c r="G316" t="s">
        <v>35</v>
      </c>
      <c r="H316" t="s">
        <v>36</v>
      </c>
      <c r="I316" t="s">
        <v>85</v>
      </c>
      <c r="K316" t="str">
        <f t="shared" si="21"/>
        <v>Not Specified</v>
      </c>
      <c r="L316" t="s">
        <v>59</v>
      </c>
      <c r="M316" t="str">
        <f t="shared" si="22"/>
        <v> 75</v>
      </c>
      <c r="N316">
        <v>3.6</v>
      </c>
      <c r="O316" s="3">
        <f t="shared" si="23"/>
        <v>3.6</v>
      </c>
      <c r="P316" t="s">
        <v>81</v>
      </c>
      <c r="Q316" t="str" cm="1">
        <f t="array" ref="Q316">_xlfn.IFS(ISBLANK(P316),"Not Specified",OR(P316="N",P316=FALSE,P316="no",P316=0),"no",TRUE,"yes")</f>
        <v>yes</v>
      </c>
      <c r="R316" s="5">
        <v>0.87</v>
      </c>
      <c r="S316">
        <f t="shared" si="24"/>
        <v>87</v>
      </c>
    </row>
    <row r="317" spans="1:19">
      <c r="A317" t="s">
        <v>721</v>
      </c>
      <c r="B317" t="s">
        <v>722</v>
      </c>
      <c r="C317" t="s">
        <v>27</v>
      </c>
      <c r="D317" t="str" cm="1">
        <f t="array" ref="D317">_xlfn.IFS(OR(LOWER(C317)="f",LOWER(C317)="female"),"Female",TRUE,"Male")</f>
        <v>Female</v>
      </c>
      <c r="E317">
        <v>26</v>
      </c>
      <c r="F317">
        <f t="shared" si="20"/>
        <v>26</v>
      </c>
      <c r="G317" t="s">
        <v>78</v>
      </c>
      <c r="H317" t="s">
        <v>79</v>
      </c>
      <c r="I317" t="s">
        <v>24</v>
      </c>
      <c r="J317">
        <v>3</v>
      </c>
      <c r="K317">
        <f t="shared" si="21"/>
        <v>3</v>
      </c>
      <c r="L317" t="s">
        <v>31</v>
      </c>
      <c r="M317" t="str">
        <f t="shared" si="22"/>
        <v> 100</v>
      </c>
      <c r="N317">
        <v>2.8</v>
      </c>
      <c r="O317" s="3">
        <f t="shared" si="23"/>
        <v>2.8</v>
      </c>
      <c r="P317">
        <v>1</v>
      </c>
      <c r="Q317" t="str" cm="1">
        <f t="array" ref="Q317">_xlfn.IFS(ISBLANK(P317),"Not Specified",OR(P317="N",P317=FALSE,P317="no",P317=0),"no",TRUE,"yes")</f>
        <v>yes</v>
      </c>
      <c r="R317" s="5">
        <v>0.61</v>
      </c>
      <c r="S317">
        <f t="shared" si="24"/>
        <v>61</v>
      </c>
    </row>
    <row r="318" spans="1:19">
      <c r="A318" t="s">
        <v>723</v>
      </c>
      <c r="B318" t="s">
        <v>724</v>
      </c>
      <c r="C318" t="s">
        <v>99</v>
      </c>
      <c r="D318" t="str" cm="1">
        <f t="array" ref="D318">_xlfn.IFS(OR(LOWER(C318)="f",LOWER(C318)="female"),"Female",TRUE,"Male")</f>
        <v>Male</v>
      </c>
      <c r="F318" t="str">
        <f t="shared" si="20"/>
        <v>Not Specified</v>
      </c>
      <c r="G318" t="s">
        <v>49</v>
      </c>
      <c r="H318" t="s">
        <v>50</v>
      </c>
      <c r="I318" t="s">
        <v>96</v>
      </c>
      <c r="J318">
        <v>0</v>
      </c>
      <c r="K318">
        <f t="shared" si="21"/>
        <v>0</v>
      </c>
      <c r="L318" t="s">
        <v>236</v>
      </c>
      <c r="M318" t="str">
        <f t="shared" si="22"/>
        <v>100</v>
      </c>
      <c r="N318">
        <v>5</v>
      </c>
      <c r="O318" s="3">
        <f t="shared" si="23"/>
        <v>5</v>
      </c>
      <c r="P318" t="s">
        <v>38</v>
      </c>
      <c r="Q318" t="str" cm="1">
        <f t="array" ref="Q318">_xlfn.IFS(ISBLANK(P318),"Not Specified",OR(P318="N",P318=FALSE,P318="no",P318=0),"no",TRUE,"yes")</f>
        <v>no</v>
      </c>
      <c r="S318" t="str">
        <f t="shared" si="24"/>
        <v>Not Specified</v>
      </c>
    </row>
    <row r="319" spans="1:19">
      <c r="A319" t="s">
        <v>725</v>
      </c>
      <c r="B319" t="s">
        <v>726</v>
      </c>
      <c r="C319" t="s">
        <v>34</v>
      </c>
      <c r="D319" t="str" cm="1">
        <f t="array" ref="D319">_xlfn.IFS(OR(LOWER(C319)="f",LOWER(C319)="female"),"Female",TRUE,"Male")</f>
        <v>Male</v>
      </c>
      <c r="E319">
        <v>32</v>
      </c>
      <c r="F319">
        <f t="shared" si="20"/>
        <v>32</v>
      </c>
      <c r="G319" t="s">
        <v>35</v>
      </c>
      <c r="H319" t="s">
        <v>36</v>
      </c>
      <c r="I319" t="s">
        <v>37</v>
      </c>
      <c r="J319">
        <v>0</v>
      </c>
      <c r="K319">
        <f t="shared" si="21"/>
        <v>0</v>
      </c>
      <c r="L319">
        <v>100</v>
      </c>
      <c r="M319" t="str">
        <f t="shared" si="22"/>
        <v>100</v>
      </c>
      <c r="N319">
        <v>1.4</v>
      </c>
      <c r="O319" s="3">
        <f t="shared" si="23"/>
        <v>1.4</v>
      </c>
      <c r="P319">
        <v>1</v>
      </c>
      <c r="Q319" t="str" cm="1">
        <f t="array" ref="Q319">_xlfn.IFS(ISBLANK(P319),"Not Specified",OR(P319="N",P319=FALSE,P319="no",P319=0),"no",TRUE,"yes")</f>
        <v>yes</v>
      </c>
      <c r="R319" s="5">
        <v>0.81</v>
      </c>
      <c r="S319">
        <f t="shared" si="24"/>
        <v>81</v>
      </c>
    </row>
    <row r="320" spans="1:19">
      <c r="A320" t="s">
        <v>727</v>
      </c>
      <c r="B320" t="s">
        <v>728</v>
      </c>
      <c r="C320" t="s">
        <v>84</v>
      </c>
      <c r="D320" t="str" cm="1">
        <f t="array" ref="D320">_xlfn.IFS(OR(LOWER(C320)="f",LOWER(C320)="female"),"Female",TRUE,"Male")</f>
        <v>Female</v>
      </c>
      <c r="E320">
        <v>55</v>
      </c>
      <c r="F320">
        <f t="shared" si="20"/>
        <v>55</v>
      </c>
      <c r="G320" t="s">
        <v>131</v>
      </c>
      <c r="H320" t="s">
        <v>132</v>
      </c>
      <c r="I320" t="s">
        <v>58</v>
      </c>
      <c r="J320">
        <v>17</v>
      </c>
      <c r="K320">
        <f t="shared" si="21"/>
        <v>17</v>
      </c>
      <c r="L320">
        <v>30</v>
      </c>
      <c r="M320" t="str">
        <f t="shared" si="22"/>
        <v>30</v>
      </c>
      <c r="O320" s="3" t="str">
        <f t="shared" si="23"/>
        <v>Not Specified</v>
      </c>
      <c r="Q320" t="str" cm="1">
        <f t="array" ref="Q320">_xlfn.IFS(ISBLANK(P320),"Not Specified",OR(P320="N",P320=FALSE,P320="no",P320=0),"no",TRUE,"yes")</f>
        <v>Not Specified</v>
      </c>
      <c r="S320" t="str">
        <f t="shared" si="24"/>
        <v>Not Specified</v>
      </c>
    </row>
    <row r="321" spans="1:19">
      <c r="A321" t="s">
        <v>729</v>
      </c>
      <c r="B321" t="s">
        <v>730</v>
      </c>
      <c r="C321" t="s">
        <v>99</v>
      </c>
      <c r="D321" t="str" cm="1">
        <f t="array" ref="D321">_xlfn.IFS(OR(LOWER(C321)="f",LOWER(C321)="female"),"Female",TRUE,"Male")</f>
        <v>Male</v>
      </c>
      <c r="E321">
        <v>32</v>
      </c>
      <c r="F321">
        <f t="shared" si="20"/>
        <v>32</v>
      </c>
      <c r="G321" t="s">
        <v>78</v>
      </c>
      <c r="H321" t="s">
        <v>79</v>
      </c>
      <c r="I321" t="s">
        <v>121</v>
      </c>
      <c r="J321">
        <v>9</v>
      </c>
      <c r="K321">
        <f t="shared" si="21"/>
        <v>9</v>
      </c>
      <c r="L321" t="s">
        <v>62</v>
      </c>
      <c r="M321" t="str">
        <f t="shared" si="22"/>
        <v> 40</v>
      </c>
      <c r="N321">
        <v>4.6</v>
      </c>
      <c r="O321" s="3">
        <f t="shared" si="23"/>
        <v>4.6</v>
      </c>
      <c r="P321">
        <v>1</v>
      </c>
      <c r="Q321" t="str" cm="1">
        <f t="array" ref="Q321">_xlfn.IFS(ISBLANK(P321),"Not Specified",OR(P321="N",P321=FALSE,P321="no",P321=0),"no",TRUE,"yes")</f>
        <v>yes</v>
      </c>
      <c r="R321" s="5">
        <v>0.84</v>
      </c>
      <c r="S321">
        <f t="shared" si="24"/>
        <v>84</v>
      </c>
    </row>
    <row r="322" spans="1:19">
      <c r="A322" t="s">
        <v>731</v>
      </c>
      <c r="B322" t="s">
        <v>732</v>
      </c>
      <c r="C322" t="s">
        <v>55</v>
      </c>
      <c r="D322" t="str" cm="1">
        <f t="array" ref="D322">_xlfn.IFS(OR(LOWER(C322)="f",LOWER(C322)="female"),"Female",TRUE,"Male")</f>
        <v>Male</v>
      </c>
      <c r="E322">
        <v>30</v>
      </c>
      <c r="F322">
        <f t="shared" si="20"/>
        <v>30</v>
      </c>
      <c r="G322" t="s">
        <v>119</v>
      </c>
      <c r="H322" t="s">
        <v>120</v>
      </c>
      <c r="I322" t="s">
        <v>24</v>
      </c>
      <c r="J322">
        <v>4</v>
      </c>
      <c r="K322">
        <f t="shared" si="21"/>
        <v>4</v>
      </c>
      <c r="L322" t="s">
        <v>128</v>
      </c>
      <c r="M322" t="str">
        <f t="shared" si="22"/>
        <v>20</v>
      </c>
      <c r="N322">
        <v>3.3</v>
      </c>
      <c r="O322" s="3">
        <f t="shared" si="23"/>
        <v>3.3</v>
      </c>
      <c r="P322" t="s">
        <v>166</v>
      </c>
      <c r="Q322" t="str" cm="1">
        <f t="array" ref="Q322">_xlfn.IFS(ISBLANK(P322),"Not Specified",OR(P322="N",P322=FALSE,P322="no",P322=0),"no",TRUE,"yes")</f>
        <v>no</v>
      </c>
      <c r="S322" t="str">
        <f t="shared" si="24"/>
        <v>Not Specified</v>
      </c>
    </row>
    <row r="323" spans="1:19">
      <c r="A323" t="s">
        <v>733</v>
      </c>
      <c r="B323" t="s">
        <v>734</v>
      </c>
      <c r="C323" t="s">
        <v>46</v>
      </c>
      <c r="D323" t="str" cm="1">
        <f t="array" ref="D323">_xlfn.IFS(OR(LOWER(C323)="f",LOWER(C323)="female"),"Female",TRUE,"Male")</f>
        <v>Female</v>
      </c>
      <c r="E323">
        <v>37</v>
      </c>
      <c r="F323">
        <f t="shared" ref="F323:F386" si="25">IF(ISNUMBER(E323),E323,"Not Specified")</f>
        <v>37</v>
      </c>
      <c r="G323" t="s">
        <v>135</v>
      </c>
      <c r="H323" t="s">
        <v>29</v>
      </c>
      <c r="I323" t="s">
        <v>85</v>
      </c>
      <c r="J323">
        <v>0</v>
      </c>
      <c r="K323">
        <f t="shared" ref="K323:K386" si="26">IF(ISNUMBER(J323),J323,"Not Specified")</f>
        <v>0</v>
      </c>
      <c r="L323" t="s">
        <v>43</v>
      </c>
      <c r="M323" t="str">
        <f t="shared" ref="M323:M386" si="27">IF(SUBSTITUTE(SUBSTITUTE(L323,"USD",""),"$","")="","Not Specified",SUBSTITUTE(SUBSTITUTE(L323,"USD",""),"$",""))</f>
        <v>40</v>
      </c>
      <c r="N323">
        <v>3.7</v>
      </c>
      <c r="O323" s="3">
        <f t="shared" ref="O323:O386" si="28">IF(OR(N323="",N323=0),"Not Specified",N323)</f>
        <v>3.7</v>
      </c>
      <c r="P323">
        <v>1</v>
      </c>
      <c r="Q323" t="str" cm="1">
        <f t="array" ref="Q323">_xlfn.IFS(ISBLANK(P323),"Not Specified",OR(P323="N",P323=FALSE,P323="no",P323=0),"no",TRUE,"yes")</f>
        <v>yes</v>
      </c>
      <c r="S323" t="str">
        <f t="shared" ref="S323:S386" si="29">IF(ISBLANK(R323),"Not Specified",IF(R323&lt;=1,R323*100,R323))</f>
        <v>Not Specified</v>
      </c>
    </row>
    <row r="324" spans="1:19">
      <c r="A324" t="s">
        <v>735</v>
      </c>
      <c r="B324" t="s">
        <v>736</v>
      </c>
      <c r="C324" t="s">
        <v>99</v>
      </c>
      <c r="D324" t="str" cm="1">
        <f t="array" ref="D324">_xlfn.IFS(OR(LOWER(C324)="f",LOWER(C324)="female"),"Female",TRUE,"Male")</f>
        <v>Male</v>
      </c>
      <c r="E324">
        <v>52</v>
      </c>
      <c r="F324">
        <f t="shared" si="25"/>
        <v>52</v>
      </c>
      <c r="G324" t="s">
        <v>114</v>
      </c>
      <c r="H324" t="s">
        <v>115</v>
      </c>
      <c r="I324" t="s">
        <v>37</v>
      </c>
      <c r="J324">
        <v>33</v>
      </c>
      <c r="K324">
        <f t="shared" si="26"/>
        <v>33</v>
      </c>
      <c r="M324" t="str">
        <f t="shared" si="27"/>
        <v>Not Specified</v>
      </c>
      <c r="N324">
        <v>0</v>
      </c>
      <c r="O324" s="3" t="str">
        <f t="shared" si="28"/>
        <v>Not Specified</v>
      </c>
      <c r="P324">
        <v>1</v>
      </c>
      <c r="Q324" t="str" cm="1">
        <f t="array" ref="Q324">_xlfn.IFS(ISBLANK(P324),"Not Specified",OR(P324="N",P324=FALSE,P324="no",P324=0),"no",TRUE,"yes")</f>
        <v>yes</v>
      </c>
      <c r="R324" s="5">
        <v>0.6</v>
      </c>
      <c r="S324">
        <f t="shared" si="29"/>
        <v>60</v>
      </c>
    </row>
    <row r="325" spans="1:19">
      <c r="A325" t="s">
        <v>737</v>
      </c>
      <c r="B325" t="s">
        <v>738</v>
      </c>
      <c r="C325" t="s">
        <v>104</v>
      </c>
      <c r="D325" t="str" cm="1">
        <f t="array" ref="D325">_xlfn.IFS(OR(LOWER(C325)="f",LOWER(C325)="female"),"Female",TRUE,"Male")</f>
        <v>Male</v>
      </c>
      <c r="E325">
        <v>48</v>
      </c>
      <c r="F325">
        <f t="shared" si="25"/>
        <v>48</v>
      </c>
      <c r="G325" t="s">
        <v>100</v>
      </c>
      <c r="H325" t="s">
        <v>101</v>
      </c>
      <c r="I325" t="s">
        <v>85</v>
      </c>
      <c r="J325">
        <v>18</v>
      </c>
      <c r="K325">
        <f t="shared" si="26"/>
        <v>18</v>
      </c>
      <c r="L325">
        <v>50</v>
      </c>
      <c r="M325" t="str">
        <f t="shared" si="27"/>
        <v>50</v>
      </c>
      <c r="N325">
        <v>0</v>
      </c>
      <c r="O325" s="3" t="str">
        <f t="shared" si="28"/>
        <v>Not Specified</v>
      </c>
      <c r="P325" t="s">
        <v>81</v>
      </c>
      <c r="Q325" t="str" cm="1">
        <f t="array" ref="Q325">_xlfn.IFS(ISBLANK(P325),"Not Specified",OR(P325="N",P325=FALSE,P325="no",P325=0),"no",TRUE,"yes")</f>
        <v>yes</v>
      </c>
      <c r="R325" s="5">
        <v>0.64</v>
      </c>
      <c r="S325">
        <f t="shared" si="29"/>
        <v>64</v>
      </c>
    </row>
    <row r="326" spans="1:19">
      <c r="A326" t="s">
        <v>739</v>
      </c>
      <c r="B326" t="s">
        <v>740</v>
      </c>
      <c r="C326" t="s">
        <v>27</v>
      </c>
      <c r="D326" t="str" cm="1">
        <f t="array" ref="D326">_xlfn.IFS(OR(LOWER(C326)="f",LOWER(C326)="female"),"Female",TRUE,"Male")</f>
        <v>Female</v>
      </c>
      <c r="E326">
        <v>28</v>
      </c>
      <c r="F326">
        <f t="shared" si="25"/>
        <v>28</v>
      </c>
      <c r="G326" t="s">
        <v>92</v>
      </c>
      <c r="H326" t="s">
        <v>93</v>
      </c>
      <c r="I326" t="s">
        <v>30</v>
      </c>
      <c r="J326">
        <v>9</v>
      </c>
      <c r="K326">
        <f t="shared" si="26"/>
        <v>9</v>
      </c>
      <c r="L326">
        <v>40</v>
      </c>
      <c r="M326" t="str">
        <f t="shared" si="27"/>
        <v>40</v>
      </c>
      <c r="O326" s="3" t="str">
        <f t="shared" si="28"/>
        <v>Not Specified</v>
      </c>
      <c r="P326">
        <v>1</v>
      </c>
      <c r="Q326" t="str" cm="1">
        <f t="array" ref="Q326">_xlfn.IFS(ISBLANK(P326),"Not Specified",OR(P326="N",P326=FALSE,P326="no",P326=0),"no",TRUE,"yes")</f>
        <v>yes</v>
      </c>
      <c r="R326" s="5">
        <v>0.64</v>
      </c>
      <c r="S326">
        <f t="shared" si="29"/>
        <v>64</v>
      </c>
    </row>
    <row r="327" spans="1:19">
      <c r="A327" t="s">
        <v>741</v>
      </c>
      <c r="B327" t="s">
        <v>742</v>
      </c>
      <c r="C327" t="s">
        <v>27</v>
      </c>
      <c r="D327" t="str" cm="1">
        <f t="array" ref="D327">_xlfn.IFS(OR(LOWER(C327)="f",LOWER(C327)="female"),"Female",TRUE,"Male")</f>
        <v>Female</v>
      </c>
      <c r="E327">
        <v>58</v>
      </c>
      <c r="F327">
        <f t="shared" si="25"/>
        <v>58</v>
      </c>
      <c r="G327" t="s">
        <v>197</v>
      </c>
      <c r="H327" t="s">
        <v>79</v>
      </c>
      <c r="I327" t="s">
        <v>58</v>
      </c>
      <c r="J327">
        <v>40</v>
      </c>
      <c r="K327">
        <f t="shared" si="26"/>
        <v>40</v>
      </c>
      <c r="L327">
        <v>75</v>
      </c>
      <c r="M327" t="str">
        <f t="shared" si="27"/>
        <v>75</v>
      </c>
      <c r="N327">
        <v>3.4</v>
      </c>
      <c r="O327" s="3">
        <f t="shared" si="28"/>
        <v>3.4</v>
      </c>
      <c r="P327">
        <v>1</v>
      </c>
      <c r="Q327" t="str" cm="1">
        <f t="array" ref="Q327">_xlfn.IFS(ISBLANK(P327),"Not Specified",OR(P327="N",P327=FALSE,P327="no",P327=0),"no",TRUE,"yes")</f>
        <v>yes</v>
      </c>
      <c r="R327" s="5">
        <v>1</v>
      </c>
      <c r="S327">
        <f t="shared" si="29"/>
        <v>100</v>
      </c>
    </row>
    <row r="328" spans="1:19">
      <c r="A328" t="s">
        <v>743</v>
      </c>
      <c r="B328" t="s">
        <v>744</v>
      </c>
      <c r="C328" t="s">
        <v>34</v>
      </c>
      <c r="D328" t="str" cm="1">
        <f t="array" ref="D328">_xlfn.IFS(OR(LOWER(C328)="f",LOWER(C328)="female"),"Female",TRUE,"Male")</f>
        <v>Male</v>
      </c>
      <c r="E328">
        <v>30</v>
      </c>
      <c r="F328">
        <f t="shared" si="25"/>
        <v>30</v>
      </c>
      <c r="G328" t="s">
        <v>78</v>
      </c>
      <c r="H328" t="s">
        <v>79</v>
      </c>
      <c r="I328" t="s">
        <v>42</v>
      </c>
      <c r="J328">
        <v>1</v>
      </c>
      <c r="K328">
        <f t="shared" si="26"/>
        <v>1</v>
      </c>
      <c r="L328">
        <v>40</v>
      </c>
      <c r="M328" t="str">
        <f t="shared" si="27"/>
        <v>40</v>
      </c>
      <c r="N328">
        <v>1.6</v>
      </c>
      <c r="O328" s="3">
        <f t="shared" si="28"/>
        <v>1.6</v>
      </c>
      <c r="P328" t="b">
        <v>1</v>
      </c>
      <c r="Q328" t="str" cm="1">
        <f t="array" ref="Q328">_xlfn.IFS(ISBLANK(P328),"Not Specified",OR(P328="N",P328=FALSE,P328="no",P328=0),"no",TRUE,"yes")</f>
        <v>yes</v>
      </c>
      <c r="R328">
        <v>100</v>
      </c>
      <c r="S328">
        <f t="shared" si="29"/>
        <v>100</v>
      </c>
    </row>
    <row r="329" spans="1:19">
      <c r="A329" t="s">
        <v>745</v>
      </c>
      <c r="B329" t="s">
        <v>746</v>
      </c>
      <c r="C329" t="s">
        <v>84</v>
      </c>
      <c r="D329" t="str" cm="1">
        <f t="array" ref="D329">_xlfn.IFS(OR(LOWER(C329)="f",LOWER(C329)="female"),"Female",TRUE,"Male")</f>
        <v>Female</v>
      </c>
      <c r="E329">
        <v>47</v>
      </c>
      <c r="F329">
        <f t="shared" si="25"/>
        <v>47</v>
      </c>
      <c r="G329" t="s">
        <v>182</v>
      </c>
      <c r="H329" t="s">
        <v>183</v>
      </c>
      <c r="I329" t="s">
        <v>30</v>
      </c>
      <c r="J329">
        <v>5</v>
      </c>
      <c r="K329">
        <f t="shared" si="26"/>
        <v>5</v>
      </c>
      <c r="L329">
        <v>20</v>
      </c>
      <c r="M329" t="str">
        <f t="shared" si="27"/>
        <v>20</v>
      </c>
      <c r="N329">
        <v>1.9</v>
      </c>
      <c r="O329" s="3">
        <f t="shared" si="28"/>
        <v>1.9</v>
      </c>
      <c r="P329">
        <v>0</v>
      </c>
      <c r="Q329" t="str" cm="1">
        <f t="array" ref="Q329">_xlfn.IFS(ISBLANK(P329),"Not Specified",OR(P329="N",P329=FALSE,P329="no",P329=0),"no",TRUE,"yes")</f>
        <v>no</v>
      </c>
      <c r="S329" t="str">
        <f t="shared" si="29"/>
        <v>Not Specified</v>
      </c>
    </row>
    <row r="330" spans="1:19">
      <c r="A330" t="s">
        <v>747</v>
      </c>
      <c r="B330" t="s">
        <v>748</v>
      </c>
      <c r="C330" t="s">
        <v>34</v>
      </c>
      <c r="D330" t="str" cm="1">
        <f t="array" ref="D330">_xlfn.IFS(OR(LOWER(C330)="f",LOWER(C330)="female"),"Female",TRUE,"Male")</f>
        <v>Male</v>
      </c>
      <c r="E330">
        <v>44</v>
      </c>
      <c r="F330">
        <f t="shared" si="25"/>
        <v>44</v>
      </c>
      <c r="G330" t="s">
        <v>78</v>
      </c>
      <c r="H330" t="s">
        <v>79</v>
      </c>
      <c r="I330" t="s">
        <v>51</v>
      </c>
      <c r="J330">
        <v>4</v>
      </c>
      <c r="K330">
        <f t="shared" si="26"/>
        <v>4</v>
      </c>
      <c r="L330" t="s">
        <v>71</v>
      </c>
      <c r="M330" t="str">
        <f t="shared" si="27"/>
        <v>50</v>
      </c>
      <c r="N330">
        <v>0</v>
      </c>
      <c r="O330" s="3" t="str">
        <f t="shared" si="28"/>
        <v>Not Specified</v>
      </c>
      <c r="P330" t="b">
        <v>1</v>
      </c>
      <c r="Q330" t="str" cm="1">
        <f t="array" ref="Q330">_xlfn.IFS(ISBLANK(P330),"Not Specified",OR(P330="N",P330=FALSE,P330="no",P330=0),"no",TRUE,"yes")</f>
        <v>yes</v>
      </c>
      <c r="R330" s="5">
        <v>0.83</v>
      </c>
      <c r="S330">
        <f t="shared" si="29"/>
        <v>83</v>
      </c>
    </row>
    <row r="331" spans="1:19">
      <c r="A331" t="s">
        <v>749</v>
      </c>
      <c r="B331" t="s">
        <v>750</v>
      </c>
      <c r="C331" t="s">
        <v>99</v>
      </c>
      <c r="D331" t="str" cm="1">
        <f t="array" ref="D331">_xlfn.IFS(OR(LOWER(C331)="f",LOWER(C331)="female"),"Female",TRUE,"Male")</f>
        <v>Male</v>
      </c>
      <c r="E331">
        <v>56</v>
      </c>
      <c r="F331">
        <f t="shared" si="25"/>
        <v>56</v>
      </c>
      <c r="G331" t="s">
        <v>22</v>
      </c>
      <c r="H331" t="s">
        <v>23</v>
      </c>
      <c r="I331" t="s">
        <v>121</v>
      </c>
      <c r="J331">
        <v>13</v>
      </c>
      <c r="K331">
        <f t="shared" si="26"/>
        <v>13</v>
      </c>
      <c r="L331" t="s">
        <v>62</v>
      </c>
      <c r="M331" t="str">
        <f t="shared" si="27"/>
        <v> 40</v>
      </c>
      <c r="O331" s="3" t="str">
        <f t="shared" si="28"/>
        <v>Not Specified</v>
      </c>
      <c r="P331">
        <v>1</v>
      </c>
      <c r="Q331" t="str" cm="1">
        <f t="array" ref="Q331">_xlfn.IFS(ISBLANK(P331),"Not Specified",OR(P331="N",P331=FALSE,P331="no",P331=0),"no",TRUE,"yes")</f>
        <v>yes</v>
      </c>
      <c r="R331" s="5">
        <v>0.87</v>
      </c>
      <c r="S331">
        <f t="shared" si="29"/>
        <v>87</v>
      </c>
    </row>
    <row r="332" spans="1:19">
      <c r="A332" t="s">
        <v>751</v>
      </c>
      <c r="B332" t="s">
        <v>752</v>
      </c>
      <c r="C332" t="s">
        <v>84</v>
      </c>
      <c r="D332" t="str" cm="1">
        <f t="array" ref="D332">_xlfn.IFS(OR(LOWER(C332)="f",LOWER(C332)="female"),"Female",TRUE,"Male")</f>
        <v>Female</v>
      </c>
      <c r="E332">
        <v>53</v>
      </c>
      <c r="F332">
        <f t="shared" si="25"/>
        <v>53</v>
      </c>
      <c r="G332" t="s">
        <v>65</v>
      </c>
      <c r="H332" t="s">
        <v>29</v>
      </c>
      <c r="I332" t="s">
        <v>30</v>
      </c>
      <c r="J332">
        <v>33</v>
      </c>
      <c r="K332">
        <f t="shared" si="26"/>
        <v>33</v>
      </c>
      <c r="L332" t="s">
        <v>236</v>
      </c>
      <c r="M332" t="str">
        <f t="shared" si="27"/>
        <v>100</v>
      </c>
      <c r="O332" s="3" t="str">
        <f t="shared" si="28"/>
        <v>Not Specified</v>
      </c>
      <c r="P332" t="s">
        <v>166</v>
      </c>
      <c r="Q332" t="str" cm="1">
        <f t="array" ref="Q332">_xlfn.IFS(ISBLANK(P332),"Not Specified",OR(P332="N",P332=FALSE,P332="no",P332=0),"no",TRUE,"yes")</f>
        <v>no</v>
      </c>
      <c r="R332" s="5">
        <v>0.75</v>
      </c>
      <c r="S332">
        <f t="shared" si="29"/>
        <v>75</v>
      </c>
    </row>
    <row r="333" spans="1:19">
      <c r="A333" t="s">
        <v>753</v>
      </c>
      <c r="B333" t="s">
        <v>754</v>
      </c>
      <c r="C333" t="s">
        <v>68</v>
      </c>
      <c r="D333" t="str" cm="1">
        <f t="array" ref="D333">_xlfn.IFS(OR(LOWER(C333)="f",LOWER(C333)="female"),"Female",TRUE,"Male")</f>
        <v>Male</v>
      </c>
      <c r="E333">
        <v>59</v>
      </c>
      <c r="F333">
        <f t="shared" si="25"/>
        <v>59</v>
      </c>
      <c r="G333" t="s">
        <v>74</v>
      </c>
      <c r="H333" t="s">
        <v>29</v>
      </c>
      <c r="I333" t="s">
        <v>30</v>
      </c>
      <c r="J333">
        <v>22</v>
      </c>
      <c r="K333">
        <f t="shared" si="26"/>
        <v>22</v>
      </c>
      <c r="L333">
        <v>40</v>
      </c>
      <c r="M333" t="str">
        <f t="shared" si="27"/>
        <v>40</v>
      </c>
      <c r="N333">
        <v>1.1</v>
      </c>
      <c r="O333" s="3">
        <f t="shared" si="28"/>
        <v>1.1</v>
      </c>
      <c r="P333" t="s">
        <v>75</v>
      </c>
      <c r="Q333" t="str" cm="1">
        <f t="array" ref="Q333">_xlfn.IFS(ISBLANK(P333),"Not Specified",OR(P333="N",P333=FALSE,P333="no",P333=0),"no",TRUE,"yes")</f>
        <v>yes</v>
      </c>
      <c r="R333" s="5">
        <v>0.61</v>
      </c>
      <c r="S333">
        <f t="shared" si="29"/>
        <v>61</v>
      </c>
    </row>
    <row r="334" spans="1:19">
      <c r="A334" t="s">
        <v>755</v>
      </c>
      <c r="B334" t="s">
        <v>756</v>
      </c>
      <c r="C334" t="s">
        <v>99</v>
      </c>
      <c r="D334" t="str" cm="1">
        <f t="array" ref="D334">_xlfn.IFS(OR(LOWER(C334)="f",LOWER(C334)="female"),"Female",TRUE,"Male")</f>
        <v>Male</v>
      </c>
      <c r="E334">
        <v>60</v>
      </c>
      <c r="F334">
        <f t="shared" si="25"/>
        <v>60</v>
      </c>
      <c r="G334" t="s">
        <v>65</v>
      </c>
      <c r="H334" t="s">
        <v>29</v>
      </c>
      <c r="I334" t="s">
        <v>96</v>
      </c>
      <c r="J334">
        <v>34</v>
      </c>
      <c r="K334">
        <f t="shared" si="26"/>
        <v>34</v>
      </c>
      <c r="M334" t="str">
        <f t="shared" si="27"/>
        <v>Not Specified</v>
      </c>
      <c r="N334">
        <v>2.5</v>
      </c>
      <c r="O334" s="3">
        <f t="shared" si="28"/>
        <v>2.5</v>
      </c>
      <c r="P334" t="b">
        <v>0</v>
      </c>
      <c r="Q334" t="str" cm="1">
        <f t="array" ref="Q334">_xlfn.IFS(ISBLANK(P334),"Not Specified",OR(P334="N",P334=FALSE,P334="no",P334=0),"no",TRUE,"yes")</f>
        <v>no</v>
      </c>
      <c r="R334" s="5">
        <v>0.93</v>
      </c>
      <c r="S334">
        <f t="shared" si="29"/>
        <v>93</v>
      </c>
    </row>
    <row r="335" spans="1:19">
      <c r="A335" t="s">
        <v>757</v>
      </c>
      <c r="B335" t="s">
        <v>758</v>
      </c>
      <c r="C335" t="s">
        <v>27</v>
      </c>
      <c r="D335" t="str" cm="1">
        <f t="array" ref="D335">_xlfn.IFS(OR(LOWER(C335)="f",LOWER(C335)="female"),"Female",TRUE,"Male")</f>
        <v>Female</v>
      </c>
      <c r="E335">
        <v>33</v>
      </c>
      <c r="F335">
        <f t="shared" si="25"/>
        <v>33</v>
      </c>
      <c r="G335" t="s">
        <v>35</v>
      </c>
      <c r="H335" t="s">
        <v>36</v>
      </c>
      <c r="I335" t="s">
        <v>30</v>
      </c>
      <c r="J335">
        <v>8</v>
      </c>
      <c r="K335">
        <f t="shared" si="26"/>
        <v>8</v>
      </c>
      <c r="L335" t="s">
        <v>116</v>
      </c>
      <c r="M335" t="str">
        <f t="shared" si="27"/>
        <v> 30</v>
      </c>
      <c r="N335">
        <v>3.6</v>
      </c>
      <c r="O335" s="3">
        <f t="shared" si="28"/>
        <v>3.6</v>
      </c>
      <c r="P335">
        <v>1</v>
      </c>
      <c r="Q335" t="str" cm="1">
        <f t="array" ref="Q335">_xlfn.IFS(ISBLANK(P335),"Not Specified",OR(P335="N",P335=FALSE,P335="no",P335=0),"no",TRUE,"yes")</f>
        <v>yes</v>
      </c>
      <c r="S335" t="str">
        <f t="shared" si="29"/>
        <v>Not Specified</v>
      </c>
    </row>
    <row r="336" spans="1:19">
      <c r="A336" t="s">
        <v>759</v>
      </c>
      <c r="B336" t="s">
        <v>760</v>
      </c>
      <c r="C336" t="s">
        <v>84</v>
      </c>
      <c r="D336" t="str" cm="1">
        <f t="array" ref="D336">_xlfn.IFS(OR(LOWER(C336)="f",LOWER(C336)="female"),"Female",TRUE,"Male")</f>
        <v>Female</v>
      </c>
      <c r="E336">
        <v>21</v>
      </c>
      <c r="F336">
        <f t="shared" si="25"/>
        <v>21</v>
      </c>
      <c r="G336" t="s">
        <v>78</v>
      </c>
      <c r="H336" t="s">
        <v>79</v>
      </c>
      <c r="I336" t="s">
        <v>42</v>
      </c>
      <c r="J336">
        <v>1</v>
      </c>
      <c r="K336">
        <f t="shared" si="26"/>
        <v>1</v>
      </c>
      <c r="L336" t="s">
        <v>321</v>
      </c>
      <c r="M336" t="str">
        <f t="shared" si="27"/>
        <v> 20</v>
      </c>
      <c r="O336" s="3" t="str">
        <f t="shared" si="28"/>
        <v>Not Specified</v>
      </c>
      <c r="P336" t="b">
        <v>0</v>
      </c>
      <c r="Q336" t="str" cm="1">
        <f t="array" ref="Q336">_xlfn.IFS(ISBLANK(P336),"Not Specified",OR(P336="N",P336=FALSE,P336="no",P336=0),"no",TRUE,"yes")</f>
        <v>no</v>
      </c>
      <c r="R336" s="5">
        <v>0.99</v>
      </c>
      <c r="S336">
        <f t="shared" si="29"/>
        <v>99</v>
      </c>
    </row>
    <row r="337" spans="1:19">
      <c r="A337" t="s">
        <v>761</v>
      </c>
      <c r="B337" t="s">
        <v>762</v>
      </c>
      <c r="C337" t="s">
        <v>34</v>
      </c>
      <c r="D337" t="str" cm="1">
        <f t="array" ref="D337">_xlfn.IFS(OR(LOWER(C337)="f",LOWER(C337)="female"),"Female",TRUE,"Male")</f>
        <v>Male</v>
      </c>
      <c r="E337">
        <v>54</v>
      </c>
      <c r="F337">
        <f t="shared" si="25"/>
        <v>54</v>
      </c>
      <c r="G337" t="s">
        <v>74</v>
      </c>
      <c r="H337" t="s">
        <v>29</v>
      </c>
      <c r="I337" t="s">
        <v>80</v>
      </c>
      <c r="J337">
        <v>20</v>
      </c>
      <c r="K337">
        <f t="shared" si="26"/>
        <v>20</v>
      </c>
      <c r="L337">
        <v>50</v>
      </c>
      <c r="M337" t="str">
        <f t="shared" si="27"/>
        <v>50</v>
      </c>
      <c r="N337">
        <v>4.4</v>
      </c>
      <c r="O337" s="3">
        <f t="shared" si="28"/>
        <v>4.4</v>
      </c>
      <c r="P337">
        <v>0</v>
      </c>
      <c r="Q337" t="str" cm="1">
        <f t="array" ref="Q337">_xlfn.IFS(ISBLANK(P337),"Not Specified",OR(P337="N",P337=FALSE,P337="no",P337=0),"no",TRUE,"yes")</f>
        <v>no</v>
      </c>
      <c r="R337">
        <v>73</v>
      </c>
      <c r="S337">
        <f t="shared" si="29"/>
        <v>73</v>
      </c>
    </row>
    <row r="338" spans="1:19">
      <c r="A338" t="s">
        <v>763</v>
      </c>
      <c r="B338" t="s">
        <v>764</v>
      </c>
      <c r="C338" t="s">
        <v>84</v>
      </c>
      <c r="D338" t="str" cm="1">
        <f t="array" ref="D338">_xlfn.IFS(OR(LOWER(C338)="f",LOWER(C338)="female"),"Female",TRUE,"Male")</f>
        <v>Female</v>
      </c>
      <c r="E338">
        <v>33</v>
      </c>
      <c r="F338">
        <f t="shared" si="25"/>
        <v>33</v>
      </c>
      <c r="G338" t="s">
        <v>65</v>
      </c>
      <c r="H338" t="s">
        <v>29</v>
      </c>
      <c r="I338" t="s">
        <v>37</v>
      </c>
      <c r="J338">
        <v>11</v>
      </c>
      <c r="K338">
        <f t="shared" si="26"/>
        <v>11</v>
      </c>
      <c r="L338">
        <v>75</v>
      </c>
      <c r="M338" t="str">
        <f t="shared" si="27"/>
        <v>75</v>
      </c>
      <c r="N338">
        <v>2.1</v>
      </c>
      <c r="O338" s="3">
        <f t="shared" si="28"/>
        <v>2.1</v>
      </c>
      <c r="P338">
        <v>0</v>
      </c>
      <c r="Q338" t="str" cm="1">
        <f t="array" ref="Q338">_xlfn.IFS(ISBLANK(P338),"Not Specified",OR(P338="N",P338=FALSE,P338="no",P338=0),"no",TRUE,"yes")</f>
        <v>no</v>
      </c>
      <c r="R338" s="5">
        <v>0.96</v>
      </c>
      <c r="S338">
        <f t="shared" si="29"/>
        <v>96</v>
      </c>
    </row>
    <row r="339" spans="1:19">
      <c r="A339" t="s">
        <v>765</v>
      </c>
      <c r="B339" t="s">
        <v>766</v>
      </c>
      <c r="C339" t="s">
        <v>84</v>
      </c>
      <c r="D339" t="str" cm="1">
        <f t="array" ref="D339">_xlfn.IFS(OR(LOWER(C339)="f",LOWER(C339)="female"),"Female",TRUE,"Male")</f>
        <v>Female</v>
      </c>
      <c r="E339">
        <v>57</v>
      </c>
      <c r="F339">
        <f t="shared" si="25"/>
        <v>57</v>
      </c>
      <c r="G339" t="s">
        <v>69</v>
      </c>
      <c r="H339" t="s">
        <v>70</v>
      </c>
      <c r="I339" t="s">
        <v>58</v>
      </c>
      <c r="J339">
        <v>2</v>
      </c>
      <c r="K339">
        <f t="shared" si="26"/>
        <v>2</v>
      </c>
      <c r="L339">
        <v>40</v>
      </c>
      <c r="M339" t="str">
        <f t="shared" si="27"/>
        <v>40</v>
      </c>
      <c r="N339">
        <v>0</v>
      </c>
      <c r="O339" s="3" t="str">
        <f t="shared" si="28"/>
        <v>Not Specified</v>
      </c>
      <c r="P339" t="b">
        <v>0</v>
      </c>
      <c r="Q339" t="str" cm="1">
        <f t="array" ref="Q339">_xlfn.IFS(ISBLANK(P339),"Not Specified",OR(P339="N",P339=FALSE,P339="no",P339=0),"no",TRUE,"yes")</f>
        <v>no</v>
      </c>
      <c r="R339" s="5">
        <v>0.6</v>
      </c>
      <c r="S339">
        <f t="shared" si="29"/>
        <v>60</v>
      </c>
    </row>
    <row r="340" spans="1:19">
      <c r="A340" t="s">
        <v>767</v>
      </c>
      <c r="B340" t="s">
        <v>768</v>
      </c>
      <c r="C340" t="s">
        <v>99</v>
      </c>
      <c r="D340" t="str" cm="1">
        <f t="array" ref="D340">_xlfn.IFS(OR(LOWER(C340)="f",LOWER(C340)="female"),"Female",TRUE,"Male")</f>
        <v>Male</v>
      </c>
      <c r="E340">
        <v>36</v>
      </c>
      <c r="F340">
        <f t="shared" si="25"/>
        <v>36</v>
      </c>
      <c r="G340" t="s">
        <v>119</v>
      </c>
      <c r="H340" t="s">
        <v>120</v>
      </c>
      <c r="I340" t="s">
        <v>37</v>
      </c>
      <c r="J340">
        <v>6</v>
      </c>
      <c r="K340">
        <f t="shared" si="26"/>
        <v>6</v>
      </c>
      <c r="L340">
        <v>20</v>
      </c>
      <c r="M340" t="str">
        <f t="shared" si="27"/>
        <v>20</v>
      </c>
      <c r="N340">
        <v>1</v>
      </c>
      <c r="O340" s="3">
        <f t="shared" si="28"/>
        <v>1</v>
      </c>
      <c r="P340" t="s">
        <v>81</v>
      </c>
      <c r="Q340" t="str" cm="1">
        <f t="array" ref="Q340">_xlfn.IFS(ISBLANK(P340),"Not Specified",OR(P340="N",P340=FALSE,P340="no",P340=0),"no",TRUE,"yes")</f>
        <v>yes</v>
      </c>
      <c r="R340" s="5">
        <v>0.64</v>
      </c>
      <c r="S340">
        <f t="shared" si="29"/>
        <v>64</v>
      </c>
    </row>
    <row r="341" spans="1:19">
      <c r="A341" t="s">
        <v>769</v>
      </c>
      <c r="B341" t="s">
        <v>770</v>
      </c>
      <c r="C341" t="s">
        <v>104</v>
      </c>
      <c r="D341" t="str" cm="1">
        <f t="array" ref="D341">_xlfn.IFS(OR(LOWER(C341)="f",LOWER(C341)="female"),"Female",TRUE,"Male")</f>
        <v>Male</v>
      </c>
      <c r="E341">
        <v>50</v>
      </c>
      <c r="F341">
        <f t="shared" si="25"/>
        <v>50</v>
      </c>
      <c r="G341" t="s">
        <v>35</v>
      </c>
      <c r="H341" t="s">
        <v>36</v>
      </c>
      <c r="I341" t="s">
        <v>24</v>
      </c>
      <c r="J341">
        <v>20</v>
      </c>
      <c r="K341">
        <f t="shared" si="26"/>
        <v>20</v>
      </c>
      <c r="L341" t="s">
        <v>116</v>
      </c>
      <c r="M341" t="str">
        <f t="shared" si="27"/>
        <v> 30</v>
      </c>
      <c r="N341">
        <v>0</v>
      </c>
      <c r="O341" s="3" t="str">
        <f t="shared" si="28"/>
        <v>Not Specified</v>
      </c>
      <c r="P341">
        <v>0</v>
      </c>
      <c r="Q341" t="str" cm="1">
        <f t="array" ref="Q341">_xlfn.IFS(ISBLANK(P341),"Not Specified",OR(P341="N",P341=FALSE,P341="no",P341=0),"no",TRUE,"yes")</f>
        <v>no</v>
      </c>
      <c r="S341" t="str">
        <f t="shared" si="29"/>
        <v>Not Specified</v>
      </c>
    </row>
    <row r="342" spans="1:19">
      <c r="A342" t="s">
        <v>771</v>
      </c>
      <c r="B342" t="s">
        <v>772</v>
      </c>
      <c r="C342" t="s">
        <v>21</v>
      </c>
      <c r="D342" t="str" cm="1">
        <f t="array" ref="D342">_xlfn.IFS(OR(LOWER(C342)="f",LOWER(C342)="female"),"Female",TRUE,"Male")</f>
        <v>Female</v>
      </c>
      <c r="E342">
        <v>37</v>
      </c>
      <c r="F342">
        <f t="shared" si="25"/>
        <v>37</v>
      </c>
      <c r="G342" t="s">
        <v>135</v>
      </c>
      <c r="H342" t="s">
        <v>29</v>
      </c>
      <c r="I342" t="s">
        <v>96</v>
      </c>
      <c r="K342" t="str">
        <f t="shared" si="26"/>
        <v>Not Specified</v>
      </c>
      <c r="L342" t="s">
        <v>321</v>
      </c>
      <c r="M342" t="str">
        <f t="shared" si="27"/>
        <v> 20</v>
      </c>
      <c r="N342">
        <v>4.9</v>
      </c>
      <c r="O342" s="3">
        <f t="shared" si="28"/>
        <v>4.9</v>
      </c>
      <c r="P342" t="s">
        <v>38</v>
      </c>
      <c r="Q342" t="str" cm="1">
        <f t="array" ref="Q342">_xlfn.IFS(ISBLANK(P342),"Not Specified",OR(P342="N",P342=FALSE,P342="no",P342=0),"no",TRUE,"yes")</f>
        <v>no</v>
      </c>
      <c r="S342" t="str">
        <f t="shared" si="29"/>
        <v>Not Specified</v>
      </c>
    </row>
    <row r="343" spans="1:19">
      <c r="A343" t="s">
        <v>773</v>
      </c>
      <c r="B343" t="s">
        <v>774</v>
      </c>
      <c r="C343" t="s">
        <v>99</v>
      </c>
      <c r="D343" t="str" cm="1">
        <f t="array" ref="D343">_xlfn.IFS(OR(LOWER(C343)="f",LOWER(C343)="female"),"Female",TRUE,"Male")</f>
        <v>Male</v>
      </c>
      <c r="E343">
        <v>53</v>
      </c>
      <c r="F343">
        <f t="shared" si="25"/>
        <v>53</v>
      </c>
      <c r="G343" t="s">
        <v>22</v>
      </c>
      <c r="H343" t="s">
        <v>23</v>
      </c>
      <c r="I343" t="s">
        <v>51</v>
      </c>
      <c r="J343">
        <v>4</v>
      </c>
      <c r="K343">
        <f t="shared" si="26"/>
        <v>4</v>
      </c>
      <c r="L343">
        <v>30</v>
      </c>
      <c r="M343" t="str">
        <f t="shared" si="27"/>
        <v>30</v>
      </c>
      <c r="N343">
        <v>4.7</v>
      </c>
      <c r="O343" s="3">
        <f t="shared" si="28"/>
        <v>4.7</v>
      </c>
      <c r="P343" t="s">
        <v>166</v>
      </c>
      <c r="Q343" t="str" cm="1">
        <f t="array" ref="Q343">_xlfn.IFS(ISBLANK(P343),"Not Specified",OR(P343="N",P343=FALSE,P343="no",P343=0),"no",TRUE,"yes")</f>
        <v>no</v>
      </c>
      <c r="R343" s="5">
        <v>0.99</v>
      </c>
      <c r="S343">
        <f t="shared" si="29"/>
        <v>99</v>
      </c>
    </row>
    <row r="344" spans="1:19">
      <c r="A344" t="s">
        <v>775</v>
      </c>
      <c r="B344" t="s">
        <v>776</v>
      </c>
      <c r="C344" t="s">
        <v>84</v>
      </c>
      <c r="D344" t="str" cm="1">
        <f t="array" ref="D344">_xlfn.IFS(OR(LOWER(C344)="f",LOWER(C344)="female"),"Female",TRUE,"Male")</f>
        <v>Female</v>
      </c>
      <c r="E344">
        <v>22</v>
      </c>
      <c r="F344">
        <f t="shared" si="25"/>
        <v>22</v>
      </c>
      <c r="G344" t="s">
        <v>22</v>
      </c>
      <c r="H344" t="s">
        <v>23</v>
      </c>
      <c r="I344" t="s">
        <v>24</v>
      </c>
      <c r="J344">
        <v>3</v>
      </c>
      <c r="K344">
        <f t="shared" si="26"/>
        <v>3</v>
      </c>
      <c r="L344" t="s">
        <v>62</v>
      </c>
      <c r="M344" t="str">
        <f t="shared" si="27"/>
        <v> 40</v>
      </c>
      <c r="N344">
        <v>2.1</v>
      </c>
      <c r="O344" s="3">
        <f t="shared" si="28"/>
        <v>2.1</v>
      </c>
      <c r="P344">
        <v>0</v>
      </c>
      <c r="Q344" t="str" cm="1">
        <f t="array" ref="Q344">_xlfn.IFS(ISBLANK(P344),"Not Specified",OR(P344="N",P344=FALSE,P344="no",P344=0),"no",TRUE,"yes")</f>
        <v>no</v>
      </c>
      <c r="S344" t="str">
        <f t="shared" si="29"/>
        <v>Not Specified</v>
      </c>
    </row>
    <row r="345" spans="1:19">
      <c r="A345" t="s">
        <v>777</v>
      </c>
      <c r="B345" t="s">
        <v>778</v>
      </c>
      <c r="C345" t="s">
        <v>84</v>
      </c>
      <c r="D345" t="str" cm="1">
        <f t="array" ref="D345">_xlfn.IFS(OR(LOWER(C345)="f",LOWER(C345)="female"),"Female",TRUE,"Male")</f>
        <v>Female</v>
      </c>
      <c r="E345">
        <v>55</v>
      </c>
      <c r="F345">
        <f t="shared" si="25"/>
        <v>55</v>
      </c>
      <c r="G345" t="s">
        <v>49</v>
      </c>
      <c r="H345" t="s">
        <v>50</v>
      </c>
      <c r="I345" t="s">
        <v>30</v>
      </c>
      <c r="J345">
        <v>33</v>
      </c>
      <c r="K345">
        <f t="shared" si="26"/>
        <v>33</v>
      </c>
      <c r="L345">
        <v>40</v>
      </c>
      <c r="M345" t="str">
        <f t="shared" si="27"/>
        <v>40</v>
      </c>
      <c r="N345">
        <v>1.5</v>
      </c>
      <c r="O345" s="3">
        <f t="shared" si="28"/>
        <v>1.5</v>
      </c>
      <c r="P345" t="s">
        <v>81</v>
      </c>
      <c r="Q345" t="str" cm="1">
        <f t="array" ref="Q345">_xlfn.IFS(ISBLANK(P345),"Not Specified",OR(P345="N",P345=FALSE,P345="no",P345=0),"no",TRUE,"yes")</f>
        <v>yes</v>
      </c>
      <c r="R345" s="5">
        <v>0.71</v>
      </c>
      <c r="S345">
        <f t="shared" si="29"/>
        <v>71</v>
      </c>
    </row>
    <row r="346" spans="1:19">
      <c r="A346" t="s">
        <v>779</v>
      </c>
      <c r="B346" t="s">
        <v>780</v>
      </c>
      <c r="C346" t="s">
        <v>68</v>
      </c>
      <c r="D346" t="str" cm="1">
        <f t="array" ref="D346">_xlfn.IFS(OR(LOWER(C346)="f",LOWER(C346)="female"),"Female",TRUE,"Male")</f>
        <v>Male</v>
      </c>
      <c r="E346">
        <v>22</v>
      </c>
      <c r="F346">
        <f t="shared" si="25"/>
        <v>22</v>
      </c>
      <c r="G346" t="s">
        <v>28</v>
      </c>
      <c r="H346" t="s">
        <v>29</v>
      </c>
      <c r="I346" t="s">
        <v>85</v>
      </c>
      <c r="J346">
        <v>1</v>
      </c>
      <c r="K346">
        <f t="shared" si="26"/>
        <v>1</v>
      </c>
      <c r="M346" t="str">
        <f t="shared" si="27"/>
        <v>Not Specified</v>
      </c>
      <c r="N346">
        <v>2.6</v>
      </c>
      <c r="O346" s="3">
        <f t="shared" si="28"/>
        <v>2.6</v>
      </c>
      <c r="P346">
        <v>0</v>
      </c>
      <c r="Q346" t="str" cm="1">
        <f t="array" ref="Q346">_xlfn.IFS(ISBLANK(P346),"Not Specified",OR(P346="N",P346=FALSE,P346="no",P346=0),"no",TRUE,"yes")</f>
        <v>no</v>
      </c>
      <c r="R346" s="5">
        <v>0.72</v>
      </c>
      <c r="S346">
        <f t="shared" si="29"/>
        <v>72</v>
      </c>
    </row>
    <row r="347" spans="1:19">
      <c r="A347" t="s">
        <v>781</v>
      </c>
      <c r="B347" t="s">
        <v>782</v>
      </c>
      <c r="C347" t="s">
        <v>21</v>
      </c>
      <c r="D347" t="str" cm="1">
        <f t="array" ref="D347">_xlfn.IFS(OR(LOWER(C347)="f",LOWER(C347)="female"),"Female",TRUE,"Male")</f>
        <v>Female</v>
      </c>
      <c r="E347">
        <v>45</v>
      </c>
      <c r="F347">
        <f t="shared" si="25"/>
        <v>45</v>
      </c>
      <c r="G347" t="s">
        <v>69</v>
      </c>
      <c r="H347" t="s">
        <v>70</v>
      </c>
      <c r="I347" t="s">
        <v>42</v>
      </c>
      <c r="J347">
        <v>23</v>
      </c>
      <c r="K347">
        <f t="shared" si="26"/>
        <v>23</v>
      </c>
      <c r="L347" t="s">
        <v>105</v>
      </c>
      <c r="M347" t="str">
        <f t="shared" si="27"/>
        <v> 50</v>
      </c>
      <c r="N347">
        <v>0</v>
      </c>
      <c r="O347" s="3" t="str">
        <f t="shared" si="28"/>
        <v>Not Specified</v>
      </c>
      <c r="P347">
        <v>0</v>
      </c>
      <c r="Q347" t="str" cm="1">
        <f t="array" ref="Q347">_xlfn.IFS(ISBLANK(P347),"Not Specified",OR(P347="N",P347=FALSE,P347="no",P347=0),"no",TRUE,"yes")</f>
        <v>no</v>
      </c>
      <c r="R347" s="5">
        <v>0.66</v>
      </c>
      <c r="S347">
        <f t="shared" si="29"/>
        <v>66</v>
      </c>
    </row>
    <row r="348" spans="1:19">
      <c r="A348" t="s">
        <v>783</v>
      </c>
      <c r="B348" t="s">
        <v>784</v>
      </c>
      <c r="C348" t="s">
        <v>99</v>
      </c>
      <c r="D348" t="str" cm="1">
        <f t="array" ref="D348">_xlfn.IFS(OR(LOWER(C348)="f",LOWER(C348)="female"),"Female",TRUE,"Male")</f>
        <v>Male</v>
      </c>
      <c r="E348">
        <v>36</v>
      </c>
      <c r="F348">
        <f t="shared" si="25"/>
        <v>36</v>
      </c>
      <c r="G348" t="s">
        <v>142</v>
      </c>
      <c r="H348" t="s">
        <v>143</v>
      </c>
      <c r="I348" t="s">
        <v>58</v>
      </c>
      <c r="J348">
        <v>13</v>
      </c>
      <c r="K348">
        <f t="shared" si="26"/>
        <v>13</v>
      </c>
      <c r="L348">
        <v>40</v>
      </c>
      <c r="M348" t="str">
        <f t="shared" si="27"/>
        <v>40</v>
      </c>
      <c r="O348" s="3" t="str">
        <f t="shared" si="28"/>
        <v>Not Specified</v>
      </c>
      <c r="P348" t="s">
        <v>38</v>
      </c>
      <c r="Q348" t="str" cm="1">
        <f t="array" ref="Q348">_xlfn.IFS(ISBLANK(P348),"Not Specified",OR(P348="N",P348=FALSE,P348="no",P348=0),"no",TRUE,"yes")</f>
        <v>no</v>
      </c>
      <c r="R348" s="5">
        <v>0.78</v>
      </c>
      <c r="S348">
        <f t="shared" si="29"/>
        <v>78</v>
      </c>
    </row>
    <row r="349" spans="1:19">
      <c r="A349" t="s">
        <v>785</v>
      </c>
      <c r="B349" t="s">
        <v>786</v>
      </c>
      <c r="C349" t="s">
        <v>55</v>
      </c>
      <c r="D349" t="str" cm="1">
        <f t="array" ref="D349">_xlfn.IFS(OR(LOWER(C349)="f",LOWER(C349)="female"),"Female",TRUE,"Male")</f>
        <v>Male</v>
      </c>
      <c r="E349">
        <v>23</v>
      </c>
      <c r="F349">
        <f t="shared" si="25"/>
        <v>23</v>
      </c>
      <c r="G349" t="s">
        <v>28</v>
      </c>
      <c r="H349" t="s">
        <v>29</v>
      </c>
      <c r="I349" t="s">
        <v>96</v>
      </c>
      <c r="J349">
        <v>1</v>
      </c>
      <c r="K349">
        <f t="shared" si="26"/>
        <v>1</v>
      </c>
      <c r="L349" t="s">
        <v>321</v>
      </c>
      <c r="M349" t="str">
        <f t="shared" si="27"/>
        <v> 20</v>
      </c>
      <c r="N349">
        <v>4</v>
      </c>
      <c r="O349" s="3">
        <f t="shared" si="28"/>
        <v>4</v>
      </c>
      <c r="P349" t="s">
        <v>81</v>
      </c>
      <c r="Q349" t="str" cm="1">
        <f t="array" ref="Q349">_xlfn.IFS(ISBLANK(P349),"Not Specified",OR(P349="N",P349=FALSE,P349="no",P349=0),"no",TRUE,"yes")</f>
        <v>yes</v>
      </c>
      <c r="R349">
        <v>100</v>
      </c>
      <c r="S349">
        <f t="shared" si="29"/>
        <v>100</v>
      </c>
    </row>
    <row r="350" spans="1:19">
      <c r="A350" t="s">
        <v>787</v>
      </c>
      <c r="B350" t="s">
        <v>788</v>
      </c>
      <c r="C350" t="s">
        <v>99</v>
      </c>
      <c r="D350" t="str" cm="1">
        <f t="array" ref="D350">_xlfn.IFS(OR(LOWER(C350)="f",LOWER(C350)="female"),"Female",TRUE,"Male")</f>
        <v>Male</v>
      </c>
      <c r="E350">
        <v>55</v>
      </c>
      <c r="F350">
        <f t="shared" si="25"/>
        <v>55</v>
      </c>
      <c r="G350" t="s">
        <v>22</v>
      </c>
      <c r="H350" t="s">
        <v>23</v>
      </c>
      <c r="I350" t="s">
        <v>96</v>
      </c>
      <c r="J350">
        <v>15</v>
      </c>
      <c r="K350">
        <f t="shared" si="26"/>
        <v>15</v>
      </c>
      <c r="L350">
        <v>40</v>
      </c>
      <c r="M350" t="str">
        <f t="shared" si="27"/>
        <v>40</v>
      </c>
      <c r="N350">
        <v>4.5</v>
      </c>
      <c r="O350" s="3">
        <f t="shared" si="28"/>
        <v>4.5</v>
      </c>
      <c r="Q350" t="str" cm="1">
        <f t="array" ref="Q350">_xlfn.IFS(ISBLANK(P350),"Not Specified",OR(P350="N",P350=FALSE,P350="no",P350=0),"no",TRUE,"yes")</f>
        <v>Not Specified</v>
      </c>
      <c r="S350" t="str">
        <f t="shared" si="29"/>
        <v>Not Specified</v>
      </c>
    </row>
    <row r="351" spans="1:19">
      <c r="A351" t="s">
        <v>789</v>
      </c>
      <c r="B351" t="s">
        <v>790</v>
      </c>
      <c r="C351" t="s">
        <v>41</v>
      </c>
      <c r="D351" t="str" cm="1">
        <f t="array" ref="D351">_xlfn.IFS(OR(LOWER(C351)="f",LOWER(C351)="female"),"Female",TRUE,"Male")</f>
        <v>Female</v>
      </c>
      <c r="E351">
        <v>50</v>
      </c>
      <c r="F351">
        <f t="shared" si="25"/>
        <v>50</v>
      </c>
      <c r="G351" t="s">
        <v>114</v>
      </c>
      <c r="H351" t="s">
        <v>115</v>
      </c>
      <c r="I351" t="s">
        <v>30</v>
      </c>
      <c r="J351">
        <v>18</v>
      </c>
      <c r="K351">
        <f t="shared" si="26"/>
        <v>18</v>
      </c>
      <c r="L351">
        <v>75</v>
      </c>
      <c r="M351" t="str">
        <f t="shared" si="27"/>
        <v>75</v>
      </c>
      <c r="N351">
        <v>3.8</v>
      </c>
      <c r="O351" s="3">
        <f t="shared" si="28"/>
        <v>3.8</v>
      </c>
      <c r="P351">
        <v>0</v>
      </c>
      <c r="Q351" t="str" cm="1">
        <f t="array" ref="Q351">_xlfn.IFS(ISBLANK(P351),"Not Specified",OR(P351="N",P351=FALSE,P351="no",P351=0),"no",TRUE,"yes")</f>
        <v>no</v>
      </c>
      <c r="R351">
        <v>67</v>
      </c>
      <c r="S351">
        <f t="shared" si="29"/>
        <v>67</v>
      </c>
    </row>
    <row r="352" spans="1:19">
      <c r="A352" t="s">
        <v>791</v>
      </c>
      <c r="B352" t="s">
        <v>792</v>
      </c>
      <c r="C352" t="s">
        <v>34</v>
      </c>
      <c r="D352" t="str" cm="1">
        <f t="array" ref="D352">_xlfn.IFS(OR(LOWER(C352)="f",LOWER(C352)="female"),"Female",TRUE,"Male")</f>
        <v>Male</v>
      </c>
      <c r="E352">
        <v>48</v>
      </c>
      <c r="F352">
        <f t="shared" si="25"/>
        <v>48</v>
      </c>
      <c r="G352" t="s">
        <v>65</v>
      </c>
      <c r="H352" t="s">
        <v>29</v>
      </c>
      <c r="I352" t="s">
        <v>121</v>
      </c>
      <c r="J352">
        <v>21</v>
      </c>
      <c r="K352">
        <f t="shared" si="26"/>
        <v>21</v>
      </c>
      <c r="L352">
        <v>50</v>
      </c>
      <c r="M352" t="str">
        <f t="shared" si="27"/>
        <v>50</v>
      </c>
      <c r="N352">
        <v>4</v>
      </c>
      <c r="O352" s="3">
        <f t="shared" si="28"/>
        <v>4</v>
      </c>
      <c r="P352">
        <v>0</v>
      </c>
      <c r="Q352" t="str" cm="1">
        <f t="array" ref="Q352">_xlfn.IFS(ISBLANK(P352),"Not Specified",OR(P352="N",P352=FALSE,P352="no",P352=0),"no",TRUE,"yes")</f>
        <v>no</v>
      </c>
      <c r="R352" s="5">
        <v>0.78</v>
      </c>
      <c r="S352">
        <f t="shared" si="29"/>
        <v>78</v>
      </c>
    </row>
    <row r="353" spans="1:19">
      <c r="A353" t="s">
        <v>793</v>
      </c>
      <c r="B353" t="s">
        <v>794</v>
      </c>
      <c r="C353" t="s">
        <v>68</v>
      </c>
      <c r="D353" t="str" cm="1">
        <f t="array" ref="D353">_xlfn.IFS(OR(LOWER(C353)="f",LOWER(C353)="female"),"Female",TRUE,"Male")</f>
        <v>Male</v>
      </c>
      <c r="E353">
        <v>23</v>
      </c>
      <c r="F353">
        <f t="shared" si="25"/>
        <v>23</v>
      </c>
      <c r="G353" t="s">
        <v>49</v>
      </c>
      <c r="H353" t="s">
        <v>50</v>
      </c>
      <c r="I353" t="s">
        <v>96</v>
      </c>
      <c r="J353">
        <v>1</v>
      </c>
      <c r="K353">
        <f t="shared" si="26"/>
        <v>1</v>
      </c>
      <c r="L353" t="s">
        <v>43</v>
      </c>
      <c r="M353" t="str">
        <f t="shared" si="27"/>
        <v>40</v>
      </c>
      <c r="N353">
        <v>4.9</v>
      </c>
      <c r="O353" s="3">
        <f t="shared" si="28"/>
        <v>4.9</v>
      </c>
      <c r="P353" t="s">
        <v>75</v>
      </c>
      <c r="Q353" t="str" cm="1">
        <f t="array" ref="Q353">_xlfn.IFS(ISBLANK(P353),"Not Specified",OR(P353="N",P353=FALSE,P353="no",P353=0),"no",TRUE,"yes")</f>
        <v>yes</v>
      </c>
      <c r="R353" s="5">
        <v>0.78</v>
      </c>
      <c r="S353">
        <f t="shared" si="29"/>
        <v>78</v>
      </c>
    </row>
    <row r="354" spans="1:19">
      <c r="A354" t="s">
        <v>795</v>
      </c>
      <c r="B354" t="s">
        <v>796</v>
      </c>
      <c r="C354" t="s">
        <v>21</v>
      </c>
      <c r="D354" t="str" cm="1">
        <f t="array" ref="D354">_xlfn.IFS(OR(LOWER(C354)="f",LOWER(C354)="female"),"Female",TRUE,"Male")</f>
        <v>Female</v>
      </c>
      <c r="E354">
        <v>49</v>
      </c>
      <c r="F354">
        <f t="shared" si="25"/>
        <v>49</v>
      </c>
      <c r="G354" t="s">
        <v>135</v>
      </c>
      <c r="H354" t="s">
        <v>29</v>
      </c>
      <c r="I354" t="s">
        <v>42</v>
      </c>
      <c r="J354">
        <v>25</v>
      </c>
      <c r="K354">
        <f t="shared" si="26"/>
        <v>25</v>
      </c>
      <c r="L354" t="s">
        <v>52</v>
      </c>
      <c r="M354" t="str">
        <f t="shared" si="27"/>
        <v>30</v>
      </c>
      <c r="N354">
        <v>3.4</v>
      </c>
      <c r="O354" s="3">
        <f t="shared" si="28"/>
        <v>3.4</v>
      </c>
      <c r="P354">
        <v>0</v>
      </c>
      <c r="Q354" t="str" cm="1">
        <f t="array" ref="Q354">_xlfn.IFS(ISBLANK(P354),"Not Specified",OR(P354="N",P354=FALSE,P354="no",P354=0),"no",TRUE,"yes")</f>
        <v>no</v>
      </c>
      <c r="R354" s="5">
        <v>0.75</v>
      </c>
      <c r="S354">
        <f t="shared" si="29"/>
        <v>75</v>
      </c>
    </row>
    <row r="355" spans="1:19">
      <c r="A355" t="s">
        <v>797</v>
      </c>
      <c r="B355" t="s">
        <v>798</v>
      </c>
      <c r="C355" t="s">
        <v>41</v>
      </c>
      <c r="D355" t="str" cm="1">
        <f t="array" ref="D355">_xlfn.IFS(OR(LOWER(C355)="f",LOWER(C355)="female"),"Female",TRUE,"Male")</f>
        <v>Female</v>
      </c>
      <c r="E355">
        <v>47</v>
      </c>
      <c r="F355">
        <f t="shared" si="25"/>
        <v>47</v>
      </c>
      <c r="G355" t="s">
        <v>22</v>
      </c>
      <c r="H355" t="s">
        <v>23</v>
      </c>
      <c r="I355" t="s">
        <v>85</v>
      </c>
      <c r="J355">
        <v>12</v>
      </c>
      <c r="K355">
        <f t="shared" si="26"/>
        <v>12</v>
      </c>
      <c r="L355">
        <v>50</v>
      </c>
      <c r="M355" t="str">
        <f t="shared" si="27"/>
        <v>50</v>
      </c>
      <c r="N355">
        <v>2.1</v>
      </c>
      <c r="O355" s="3">
        <f t="shared" si="28"/>
        <v>2.1</v>
      </c>
      <c r="P355" t="b">
        <v>1</v>
      </c>
      <c r="Q355" t="str" cm="1">
        <f t="array" ref="Q355">_xlfn.IFS(ISBLANK(P355),"Not Specified",OR(P355="N",P355=FALSE,P355="no",P355=0),"no",TRUE,"yes")</f>
        <v>yes</v>
      </c>
      <c r="R355" s="5">
        <v>0.67</v>
      </c>
      <c r="S355">
        <f t="shared" si="29"/>
        <v>67</v>
      </c>
    </row>
    <row r="356" spans="1:19">
      <c r="A356" t="s">
        <v>799</v>
      </c>
      <c r="B356" t="s">
        <v>800</v>
      </c>
      <c r="C356" t="s">
        <v>84</v>
      </c>
      <c r="D356" t="str" cm="1">
        <f t="array" ref="D356">_xlfn.IFS(OR(LOWER(C356)="f",LOWER(C356)="female"),"Female",TRUE,"Male")</f>
        <v>Female</v>
      </c>
      <c r="E356">
        <v>56</v>
      </c>
      <c r="F356">
        <f t="shared" si="25"/>
        <v>56</v>
      </c>
      <c r="G356" t="s">
        <v>92</v>
      </c>
      <c r="H356" t="s">
        <v>93</v>
      </c>
      <c r="I356" t="s">
        <v>37</v>
      </c>
      <c r="J356">
        <v>32</v>
      </c>
      <c r="K356">
        <f t="shared" si="26"/>
        <v>32</v>
      </c>
      <c r="L356" t="s">
        <v>62</v>
      </c>
      <c r="M356" t="str">
        <f t="shared" si="27"/>
        <v> 40</v>
      </c>
      <c r="N356">
        <v>0</v>
      </c>
      <c r="O356" s="3" t="str">
        <f t="shared" si="28"/>
        <v>Not Specified</v>
      </c>
      <c r="P356">
        <v>1</v>
      </c>
      <c r="Q356" t="str" cm="1">
        <f t="array" ref="Q356">_xlfn.IFS(ISBLANK(P356),"Not Specified",OR(P356="N",P356=FALSE,P356="no",P356=0),"no",TRUE,"yes")</f>
        <v>yes</v>
      </c>
      <c r="R356" s="5">
        <v>0.86</v>
      </c>
      <c r="S356">
        <f t="shared" si="29"/>
        <v>86</v>
      </c>
    </row>
    <row r="357" spans="1:19">
      <c r="A357" t="s">
        <v>801</v>
      </c>
      <c r="B357" t="s">
        <v>802</v>
      </c>
      <c r="C357" t="s">
        <v>68</v>
      </c>
      <c r="D357" t="str" cm="1">
        <f t="array" ref="D357">_xlfn.IFS(OR(LOWER(C357)="f",LOWER(C357)="female"),"Female",TRUE,"Male")</f>
        <v>Male</v>
      </c>
      <c r="E357">
        <v>58</v>
      </c>
      <c r="F357">
        <f t="shared" si="25"/>
        <v>58</v>
      </c>
      <c r="G357" t="s">
        <v>78</v>
      </c>
      <c r="H357" t="s">
        <v>79</v>
      </c>
      <c r="I357" t="s">
        <v>80</v>
      </c>
      <c r="K357" t="str">
        <f t="shared" si="26"/>
        <v>Not Specified</v>
      </c>
      <c r="L357">
        <v>100</v>
      </c>
      <c r="M357" t="str">
        <f t="shared" si="27"/>
        <v>100</v>
      </c>
      <c r="N357">
        <v>4.5</v>
      </c>
      <c r="O357" s="3">
        <f t="shared" si="28"/>
        <v>4.5</v>
      </c>
      <c r="P357" t="s">
        <v>166</v>
      </c>
      <c r="Q357" t="str" cm="1">
        <f t="array" ref="Q357">_xlfn.IFS(ISBLANK(P357),"Not Specified",OR(P357="N",P357=FALSE,P357="no",P357=0),"no",TRUE,"yes")</f>
        <v>no</v>
      </c>
      <c r="R357">
        <v>77</v>
      </c>
      <c r="S357">
        <f t="shared" si="29"/>
        <v>77</v>
      </c>
    </row>
    <row r="358" spans="1:19">
      <c r="A358" t="s">
        <v>803</v>
      </c>
      <c r="B358" t="s">
        <v>804</v>
      </c>
      <c r="C358" t="s">
        <v>55</v>
      </c>
      <c r="D358" t="str" cm="1">
        <f t="array" ref="D358">_xlfn.IFS(OR(LOWER(C358)="f",LOWER(C358)="female"),"Female",TRUE,"Male")</f>
        <v>Male</v>
      </c>
      <c r="E358">
        <v>32</v>
      </c>
      <c r="F358">
        <f t="shared" si="25"/>
        <v>32</v>
      </c>
      <c r="G358" t="s">
        <v>119</v>
      </c>
      <c r="H358" t="s">
        <v>120</v>
      </c>
      <c r="I358" t="s">
        <v>80</v>
      </c>
      <c r="J358">
        <v>10</v>
      </c>
      <c r="K358">
        <f t="shared" si="26"/>
        <v>10</v>
      </c>
      <c r="L358" t="s">
        <v>52</v>
      </c>
      <c r="M358" t="str">
        <f t="shared" si="27"/>
        <v>30</v>
      </c>
      <c r="N358">
        <v>3.8</v>
      </c>
      <c r="O358" s="3">
        <f t="shared" si="28"/>
        <v>3.8</v>
      </c>
      <c r="P358">
        <v>0</v>
      </c>
      <c r="Q358" t="str" cm="1">
        <f t="array" ref="Q358">_xlfn.IFS(ISBLANK(P358),"Not Specified",OR(P358="N",P358=FALSE,P358="no",P358=0),"no",TRUE,"yes")</f>
        <v>no</v>
      </c>
      <c r="R358" s="5">
        <v>0.61</v>
      </c>
      <c r="S358">
        <f t="shared" si="29"/>
        <v>61</v>
      </c>
    </row>
    <row r="359" spans="1:19">
      <c r="A359" t="s">
        <v>805</v>
      </c>
      <c r="B359" t="s">
        <v>806</v>
      </c>
      <c r="C359" t="s">
        <v>84</v>
      </c>
      <c r="D359" t="str" cm="1">
        <f t="array" ref="D359">_xlfn.IFS(OR(LOWER(C359)="f",LOWER(C359)="female"),"Female",TRUE,"Male")</f>
        <v>Female</v>
      </c>
      <c r="E359">
        <v>52</v>
      </c>
      <c r="F359">
        <f t="shared" si="25"/>
        <v>52</v>
      </c>
      <c r="G359" t="s">
        <v>100</v>
      </c>
      <c r="H359" t="s">
        <v>101</v>
      </c>
      <c r="I359" t="s">
        <v>80</v>
      </c>
      <c r="J359">
        <v>0</v>
      </c>
      <c r="K359">
        <f t="shared" si="26"/>
        <v>0</v>
      </c>
      <c r="M359" t="str">
        <f t="shared" si="27"/>
        <v>Not Specified</v>
      </c>
      <c r="N359">
        <v>4.3</v>
      </c>
      <c r="O359" s="3">
        <f t="shared" si="28"/>
        <v>4.3</v>
      </c>
      <c r="P359">
        <v>0</v>
      </c>
      <c r="Q359" t="str" cm="1">
        <f t="array" ref="Q359">_xlfn.IFS(ISBLANK(P359),"Not Specified",OR(P359="N",P359=FALSE,P359="no",P359=0),"no",TRUE,"yes")</f>
        <v>no</v>
      </c>
      <c r="R359" s="5">
        <v>0.9</v>
      </c>
      <c r="S359">
        <f t="shared" si="29"/>
        <v>90</v>
      </c>
    </row>
    <row r="360" spans="1:19">
      <c r="A360" t="s">
        <v>807</v>
      </c>
      <c r="B360" t="s">
        <v>808</v>
      </c>
      <c r="C360" t="s">
        <v>27</v>
      </c>
      <c r="D360" t="str" cm="1">
        <f t="array" ref="D360">_xlfn.IFS(OR(LOWER(C360)="f",LOWER(C360)="female"),"Female",TRUE,"Male")</f>
        <v>Female</v>
      </c>
      <c r="E360">
        <v>22</v>
      </c>
      <c r="F360">
        <f t="shared" si="25"/>
        <v>22</v>
      </c>
      <c r="G360" t="s">
        <v>182</v>
      </c>
      <c r="H360" t="s">
        <v>183</v>
      </c>
      <c r="I360" t="s">
        <v>58</v>
      </c>
      <c r="J360">
        <v>1</v>
      </c>
      <c r="K360">
        <f t="shared" si="26"/>
        <v>1</v>
      </c>
      <c r="L360">
        <v>50</v>
      </c>
      <c r="M360" t="str">
        <f t="shared" si="27"/>
        <v>50</v>
      </c>
      <c r="N360">
        <v>0</v>
      </c>
      <c r="O360" s="3" t="str">
        <f t="shared" si="28"/>
        <v>Not Specified</v>
      </c>
      <c r="Q360" t="str" cm="1">
        <f t="array" ref="Q360">_xlfn.IFS(ISBLANK(P360),"Not Specified",OR(P360="N",P360=FALSE,P360="no",P360=0),"no",TRUE,"yes")</f>
        <v>Not Specified</v>
      </c>
      <c r="R360" s="5">
        <v>0.98</v>
      </c>
      <c r="S360">
        <f t="shared" si="29"/>
        <v>98</v>
      </c>
    </row>
    <row r="361" spans="1:19">
      <c r="A361" t="s">
        <v>809</v>
      </c>
      <c r="B361" t="s">
        <v>810</v>
      </c>
      <c r="C361" t="s">
        <v>104</v>
      </c>
      <c r="D361" t="str" cm="1">
        <f t="array" ref="D361">_xlfn.IFS(OR(LOWER(C361)="f",LOWER(C361)="female"),"Female",TRUE,"Male")</f>
        <v>Male</v>
      </c>
      <c r="E361">
        <v>20</v>
      </c>
      <c r="F361">
        <f t="shared" si="25"/>
        <v>20</v>
      </c>
      <c r="G361" t="s">
        <v>100</v>
      </c>
      <c r="H361" t="s">
        <v>101</v>
      </c>
      <c r="I361" t="s">
        <v>85</v>
      </c>
      <c r="J361">
        <v>2</v>
      </c>
      <c r="K361">
        <f t="shared" si="26"/>
        <v>2</v>
      </c>
      <c r="L361">
        <v>30</v>
      </c>
      <c r="M361" t="str">
        <f t="shared" si="27"/>
        <v>30</v>
      </c>
      <c r="O361" s="3" t="str">
        <f t="shared" si="28"/>
        <v>Not Specified</v>
      </c>
      <c r="P361">
        <v>1</v>
      </c>
      <c r="Q361" t="str" cm="1">
        <f t="array" ref="Q361">_xlfn.IFS(ISBLANK(P361),"Not Specified",OR(P361="N",P361=FALSE,P361="no",P361=0),"no",TRUE,"yes")</f>
        <v>yes</v>
      </c>
      <c r="R361" s="5">
        <v>0.99</v>
      </c>
      <c r="S361">
        <f t="shared" si="29"/>
        <v>99</v>
      </c>
    </row>
    <row r="362" spans="1:19">
      <c r="A362" t="s">
        <v>811</v>
      </c>
      <c r="B362" t="s">
        <v>812</v>
      </c>
      <c r="C362" t="s">
        <v>99</v>
      </c>
      <c r="D362" t="str" cm="1">
        <f t="array" ref="D362">_xlfn.IFS(OR(LOWER(C362)="f",LOWER(C362)="female"),"Female",TRUE,"Male")</f>
        <v>Male</v>
      </c>
      <c r="E362">
        <v>56</v>
      </c>
      <c r="F362">
        <f t="shared" si="25"/>
        <v>56</v>
      </c>
      <c r="G362" t="s">
        <v>49</v>
      </c>
      <c r="H362" t="s">
        <v>50</v>
      </c>
      <c r="I362" t="s">
        <v>58</v>
      </c>
      <c r="J362">
        <v>9</v>
      </c>
      <c r="K362">
        <f t="shared" si="26"/>
        <v>9</v>
      </c>
      <c r="L362" t="s">
        <v>62</v>
      </c>
      <c r="M362" t="str">
        <f t="shared" si="27"/>
        <v> 40</v>
      </c>
      <c r="N362">
        <v>2.6</v>
      </c>
      <c r="O362" s="3">
        <f t="shared" si="28"/>
        <v>2.6</v>
      </c>
      <c r="P362">
        <v>0</v>
      </c>
      <c r="Q362" t="str" cm="1">
        <f t="array" ref="Q362">_xlfn.IFS(ISBLANK(P362),"Not Specified",OR(P362="N",P362=FALSE,P362="no",P362=0),"no",TRUE,"yes")</f>
        <v>no</v>
      </c>
      <c r="R362" s="5">
        <v>0.61</v>
      </c>
      <c r="S362">
        <f t="shared" si="29"/>
        <v>61</v>
      </c>
    </row>
    <row r="363" spans="1:19">
      <c r="A363" t="s">
        <v>813</v>
      </c>
      <c r="B363" t="s">
        <v>814</v>
      </c>
      <c r="C363" t="s">
        <v>104</v>
      </c>
      <c r="D363" t="str" cm="1">
        <f t="array" ref="D363">_xlfn.IFS(OR(LOWER(C363)="f",LOWER(C363)="female"),"Female",TRUE,"Male")</f>
        <v>Male</v>
      </c>
      <c r="E363">
        <v>41</v>
      </c>
      <c r="F363">
        <f t="shared" si="25"/>
        <v>41</v>
      </c>
      <c r="G363" t="s">
        <v>92</v>
      </c>
      <c r="H363" t="s">
        <v>93</v>
      </c>
      <c r="I363" t="s">
        <v>58</v>
      </c>
      <c r="J363">
        <v>22</v>
      </c>
      <c r="K363">
        <f t="shared" si="26"/>
        <v>22</v>
      </c>
      <c r="L363" t="s">
        <v>105</v>
      </c>
      <c r="M363" t="str">
        <f t="shared" si="27"/>
        <v> 50</v>
      </c>
      <c r="N363">
        <v>1.6</v>
      </c>
      <c r="O363" s="3">
        <f t="shared" si="28"/>
        <v>1.6</v>
      </c>
      <c r="P363">
        <v>1</v>
      </c>
      <c r="Q363" t="str" cm="1">
        <f t="array" ref="Q363">_xlfn.IFS(ISBLANK(P363),"Not Specified",OR(P363="N",P363=FALSE,P363="no",P363=0),"no",TRUE,"yes")</f>
        <v>yes</v>
      </c>
      <c r="R363" s="5">
        <v>0.61</v>
      </c>
      <c r="S363">
        <f t="shared" si="29"/>
        <v>61</v>
      </c>
    </row>
    <row r="364" spans="1:19">
      <c r="A364" t="s">
        <v>815</v>
      </c>
      <c r="B364" t="s">
        <v>816</v>
      </c>
      <c r="C364" t="s">
        <v>104</v>
      </c>
      <c r="D364" t="str" cm="1">
        <f t="array" ref="D364">_xlfn.IFS(OR(LOWER(C364)="f",LOWER(C364)="female"),"Female",TRUE,"Male")</f>
        <v>Male</v>
      </c>
      <c r="E364">
        <v>25</v>
      </c>
      <c r="F364">
        <f t="shared" si="25"/>
        <v>25</v>
      </c>
      <c r="G364" t="s">
        <v>78</v>
      </c>
      <c r="H364" t="s">
        <v>79</v>
      </c>
      <c r="I364" t="s">
        <v>24</v>
      </c>
      <c r="J364">
        <v>5</v>
      </c>
      <c r="K364">
        <f t="shared" si="26"/>
        <v>5</v>
      </c>
      <c r="L364" t="s">
        <v>52</v>
      </c>
      <c r="M364" t="str">
        <f t="shared" si="27"/>
        <v>30</v>
      </c>
      <c r="N364">
        <v>2.3</v>
      </c>
      <c r="O364" s="3">
        <f t="shared" si="28"/>
        <v>2.3</v>
      </c>
      <c r="P364">
        <v>0</v>
      </c>
      <c r="Q364" t="str" cm="1">
        <f t="array" ref="Q364">_xlfn.IFS(ISBLANK(P364),"Not Specified",OR(P364="N",P364=FALSE,P364="no",P364=0),"no",TRUE,"yes")</f>
        <v>no</v>
      </c>
      <c r="R364" s="5">
        <v>0.91</v>
      </c>
      <c r="S364">
        <f t="shared" si="29"/>
        <v>91</v>
      </c>
    </row>
    <row r="365" spans="1:19">
      <c r="A365" t="s">
        <v>817</v>
      </c>
      <c r="B365" t="s">
        <v>818</v>
      </c>
      <c r="C365" t="s">
        <v>27</v>
      </c>
      <c r="D365" t="str" cm="1">
        <f t="array" ref="D365">_xlfn.IFS(OR(LOWER(C365)="f",LOWER(C365)="female"),"Female",TRUE,"Male")</f>
        <v>Female</v>
      </c>
      <c r="E365">
        <v>44</v>
      </c>
      <c r="F365">
        <f t="shared" si="25"/>
        <v>44</v>
      </c>
      <c r="G365" t="s">
        <v>135</v>
      </c>
      <c r="H365" t="s">
        <v>29</v>
      </c>
      <c r="I365" t="s">
        <v>85</v>
      </c>
      <c r="J365">
        <v>6</v>
      </c>
      <c r="K365">
        <f t="shared" si="26"/>
        <v>6</v>
      </c>
      <c r="L365">
        <v>75</v>
      </c>
      <c r="M365" t="str">
        <f t="shared" si="27"/>
        <v>75</v>
      </c>
      <c r="N365">
        <v>4.6</v>
      </c>
      <c r="O365" s="3">
        <f t="shared" si="28"/>
        <v>4.6</v>
      </c>
      <c r="P365" t="s">
        <v>81</v>
      </c>
      <c r="Q365" t="str" cm="1">
        <f t="array" ref="Q365">_xlfn.IFS(ISBLANK(P365),"Not Specified",OR(P365="N",P365=FALSE,P365="no",P365=0),"no",TRUE,"yes")</f>
        <v>yes</v>
      </c>
      <c r="R365">
        <v>72</v>
      </c>
      <c r="S365">
        <f t="shared" si="29"/>
        <v>72</v>
      </c>
    </row>
    <row r="366" spans="1:19">
      <c r="A366" t="s">
        <v>819</v>
      </c>
      <c r="B366" t="s">
        <v>820</v>
      </c>
      <c r="C366" t="s">
        <v>46</v>
      </c>
      <c r="D366" t="str" cm="1">
        <f t="array" ref="D366">_xlfn.IFS(OR(LOWER(C366)="f",LOWER(C366)="female"),"Female",TRUE,"Male")</f>
        <v>Female</v>
      </c>
      <c r="E366">
        <v>46</v>
      </c>
      <c r="F366">
        <f t="shared" si="25"/>
        <v>46</v>
      </c>
      <c r="G366" t="s">
        <v>28</v>
      </c>
      <c r="H366" t="s">
        <v>29</v>
      </c>
      <c r="I366" t="s">
        <v>42</v>
      </c>
      <c r="J366">
        <v>26</v>
      </c>
      <c r="K366">
        <f t="shared" si="26"/>
        <v>26</v>
      </c>
      <c r="L366" t="s">
        <v>236</v>
      </c>
      <c r="M366" t="str">
        <f t="shared" si="27"/>
        <v>100</v>
      </c>
      <c r="N366">
        <v>2.1</v>
      </c>
      <c r="O366" s="3">
        <f t="shared" si="28"/>
        <v>2.1</v>
      </c>
      <c r="Q366" t="str" cm="1">
        <f t="array" ref="Q366">_xlfn.IFS(ISBLANK(P366),"Not Specified",OR(P366="N",P366=FALSE,P366="no",P366=0),"no",TRUE,"yes")</f>
        <v>Not Specified</v>
      </c>
      <c r="S366" t="str">
        <f t="shared" si="29"/>
        <v>Not Specified</v>
      </c>
    </row>
    <row r="367" spans="1:19">
      <c r="A367" t="s">
        <v>821</v>
      </c>
      <c r="B367" t="s">
        <v>822</v>
      </c>
      <c r="C367" t="s">
        <v>46</v>
      </c>
      <c r="D367" t="str" cm="1">
        <f t="array" ref="D367">_xlfn.IFS(OR(LOWER(C367)="f",LOWER(C367)="female"),"Female",TRUE,"Male")</f>
        <v>Female</v>
      </c>
      <c r="E367">
        <v>40</v>
      </c>
      <c r="F367">
        <f t="shared" si="25"/>
        <v>40</v>
      </c>
      <c r="G367" t="s">
        <v>119</v>
      </c>
      <c r="H367" t="s">
        <v>120</v>
      </c>
      <c r="I367" t="s">
        <v>24</v>
      </c>
      <c r="K367" t="str">
        <f t="shared" si="26"/>
        <v>Not Specified</v>
      </c>
      <c r="L367">
        <v>40</v>
      </c>
      <c r="M367" t="str">
        <f t="shared" si="27"/>
        <v>40</v>
      </c>
      <c r="N367">
        <v>1.5</v>
      </c>
      <c r="O367" s="3">
        <f t="shared" si="28"/>
        <v>1.5</v>
      </c>
      <c r="P367" t="b">
        <v>0</v>
      </c>
      <c r="Q367" t="str" cm="1">
        <f t="array" ref="Q367">_xlfn.IFS(ISBLANK(P367),"Not Specified",OR(P367="N",P367=FALSE,P367="no",P367=0),"no",TRUE,"yes")</f>
        <v>no</v>
      </c>
      <c r="R367" s="5">
        <v>0.96</v>
      </c>
      <c r="S367">
        <f t="shared" si="29"/>
        <v>96</v>
      </c>
    </row>
    <row r="368" spans="1:19">
      <c r="A368" t="s">
        <v>823</v>
      </c>
      <c r="B368" t="s">
        <v>824</v>
      </c>
      <c r="C368" t="s">
        <v>34</v>
      </c>
      <c r="D368" t="str" cm="1">
        <f t="array" ref="D368">_xlfn.IFS(OR(LOWER(C368)="f",LOWER(C368)="female"),"Female",TRUE,"Male")</f>
        <v>Male</v>
      </c>
      <c r="F368" t="str">
        <f t="shared" si="25"/>
        <v>Not Specified</v>
      </c>
      <c r="G368" t="s">
        <v>182</v>
      </c>
      <c r="H368" t="s">
        <v>183</v>
      </c>
      <c r="I368" t="s">
        <v>51</v>
      </c>
      <c r="J368">
        <v>9</v>
      </c>
      <c r="K368">
        <f t="shared" si="26"/>
        <v>9</v>
      </c>
      <c r="L368" t="s">
        <v>62</v>
      </c>
      <c r="M368" t="str">
        <f t="shared" si="27"/>
        <v> 40</v>
      </c>
      <c r="N368">
        <v>1.7</v>
      </c>
      <c r="O368" s="3">
        <f t="shared" si="28"/>
        <v>1.7</v>
      </c>
      <c r="P368">
        <v>1</v>
      </c>
      <c r="Q368" t="str" cm="1">
        <f t="array" ref="Q368">_xlfn.IFS(ISBLANK(P368),"Not Specified",OR(P368="N",P368=FALSE,P368="no",P368=0),"no",TRUE,"yes")</f>
        <v>yes</v>
      </c>
      <c r="R368">
        <v>72</v>
      </c>
      <c r="S368">
        <f t="shared" si="29"/>
        <v>72</v>
      </c>
    </row>
    <row r="369" spans="1:19">
      <c r="A369" t="s">
        <v>825</v>
      </c>
      <c r="B369" t="s">
        <v>826</v>
      </c>
      <c r="C369" t="s">
        <v>99</v>
      </c>
      <c r="D369" t="str" cm="1">
        <f t="array" ref="D369">_xlfn.IFS(OR(LOWER(C369)="f",LOWER(C369)="female"),"Female",TRUE,"Male")</f>
        <v>Male</v>
      </c>
      <c r="E369">
        <v>31</v>
      </c>
      <c r="F369">
        <f t="shared" si="25"/>
        <v>31</v>
      </c>
      <c r="G369" t="s">
        <v>92</v>
      </c>
      <c r="H369" t="s">
        <v>93</v>
      </c>
      <c r="I369" t="s">
        <v>58</v>
      </c>
      <c r="J369">
        <v>11</v>
      </c>
      <c r="K369">
        <f t="shared" si="26"/>
        <v>11</v>
      </c>
      <c r="M369" t="str">
        <f t="shared" si="27"/>
        <v>Not Specified</v>
      </c>
      <c r="N369">
        <v>3.3</v>
      </c>
      <c r="O369" s="3">
        <f t="shared" si="28"/>
        <v>3.3</v>
      </c>
      <c r="P369">
        <v>0</v>
      </c>
      <c r="Q369" t="str" cm="1">
        <f t="array" ref="Q369">_xlfn.IFS(ISBLANK(P369),"Not Specified",OR(P369="N",P369=FALSE,P369="no",P369=0),"no",TRUE,"yes")</f>
        <v>no</v>
      </c>
      <c r="S369" t="str">
        <f t="shared" si="29"/>
        <v>Not Specified</v>
      </c>
    </row>
    <row r="370" spans="1:19">
      <c r="A370" t="s">
        <v>827</v>
      </c>
      <c r="B370" t="s">
        <v>828</v>
      </c>
      <c r="C370" t="s">
        <v>55</v>
      </c>
      <c r="D370" t="str" cm="1">
        <f t="array" ref="D370">_xlfn.IFS(OR(LOWER(C370)="f",LOWER(C370)="female"),"Female",TRUE,"Male")</f>
        <v>Male</v>
      </c>
      <c r="E370">
        <v>33</v>
      </c>
      <c r="F370">
        <f t="shared" si="25"/>
        <v>33</v>
      </c>
      <c r="G370" t="s">
        <v>119</v>
      </c>
      <c r="H370" t="s">
        <v>120</v>
      </c>
      <c r="I370" t="s">
        <v>121</v>
      </c>
      <c r="K370" t="str">
        <f t="shared" si="26"/>
        <v>Not Specified</v>
      </c>
      <c r="L370" t="s">
        <v>43</v>
      </c>
      <c r="M370" t="str">
        <f t="shared" si="27"/>
        <v>40</v>
      </c>
      <c r="N370">
        <v>4.3</v>
      </c>
      <c r="O370" s="3">
        <f t="shared" si="28"/>
        <v>4.3</v>
      </c>
      <c r="P370">
        <v>1</v>
      </c>
      <c r="Q370" t="str" cm="1">
        <f t="array" ref="Q370">_xlfn.IFS(ISBLANK(P370),"Not Specified",OR(P370="N",P370=FALSE,P370="no",P370=0),"no",TRUE,"yes")</f>
        <v>yes</v>
      </c>
      <c r="R370" s="5">
        <v>0.63</v>
      </c>
      <c r="S370">
        <f t="shared" si="29"/>
        <v>63</v>
      </c>
    </row>
    <row r="371" spans="1:19">
      <c r="A371" t="s">
        <v>829</v>
      </c>
      <c r="B371" t="s">
        <v>830</v>
      </c>
      <c r="C371" t="s">
        <v>27</v>
      </c>
      <c r="D371" t="str" cm="1">
        <f t="array" ref="D371">_xlfn.IFS(OR(LOWER(C371)="f",LOWER(C371)="female"),"Female",TRUE,"Male")</f>
        <v>Female</v>
      </c>
      <c r="E371">
        <v>31</v>
      </c>
      <c r="F371">
        <f t="shared" si="25"/>
        <v>31</v>
      </c>
      <c r="G371" t="s">
        <v>114</v>
      </c>
      <c r="H371" t="s">
        <v>115</v>
      </c>
      <c r="I371" t="s">
        <v>121</v>
      </c>
      <c r="J371">
        <v>3</v>
      </c>
      <c r="K371">
        <f t="shared" si="26"/>
        <v>3</v>
      </c>
      <c r="L371" t="s">
        <v>128</v>
      </c>
      <c r="M371" t="str">
        <f t="shared" si="27"/>
        <v>20</v>
      </c>
      <c r="O371" s="3" t="str">
        <f t="shared" si="28"/>
        <v>Not Specified</v>
      </c>
      <c r="P371" t="s">
        <v>38</v>
      </c>
      <c r="Q371" t="str" cm="1">
        <f t="array" ref="Q371">_xlfn.IFS(ISBLANK(P371),"Not Specified",OR(P371="N",P371=FALSE,P371="no",P371=0),"no",TRUE,"yes")</f>
        <v>no</v>
      </c>
      <c r="S371" t="str">
        <f t="shared" si="29"/>
        <v>Not Specified</v>
      </c>
    </row>
    <row r="372" spans="1:19">
      <c r="A372" t="s">
        <v>831</v>
      </c>
      <c r="B372" t="s">
        <v>832</v>
      </c>
      <c r="C372" t="s">
        <v>41</v>
      </c>
      <c r="D372" t="str" cm="1">
        <f t="array" ref="D372">_xlfn.IFS(OR(LOWER(C372)="f",LOWER(C372)="female"),"Female",TRUE,"Male")</f>
        <v>Female</v>
      </c>
      <c r="E372">
        <v>49</v>
      </c>
      <c r="F372">
        <f t="shared" si="25"/>
        <v>49</v>
      </c>
      <c r="G372" t="s">
        <v>22</v>
      </c>
      <c r="H372" t="s">
        <v>23</v>
      </c>
      <c r="I372" t="s">
        <v>58</v>
      </c>
      <c r="J372">
        <v>15</v>
      </c>
      <c r="K372">
        <f t="shared" si="26"/>
        <v>15</v>
      </c>
      <c r="L372" t="s">
        <v>59</v>
      </c>
      <c r="M372" t="str">
        <f t="shared" si="27"/>
        <v> 75</v>
      </c>
      <c r="N372">
        <v>2.6</v>
      </c>
      <c r="O372" s="3">
        <f t="shared" si="28"/>
        <v>2.6</v>
      </c>
      <c r="P372" t="s">
        <v>38</v>
      </c>
      <c r="Q372" t="str" cm="1">
        <f t="array" ref="Q372">_xlfn.IFS(ISBLANK(P372),"Not Specified",OR(P372="N",P372=FALSE,P372="no",P372=0),"no",TRUE,"yes")</f>
        <v>no</v>
      </c>
      <c r="R372" s="5">
        <v>0.83</v>
      </c>
      <c r="S372">
        <f t="shared" si="29"/>
        <v>83</v>
      </c>
    </row>
    <row r="373" spans="1:19">
      <c r="A373" t="s">
        <v>833</v>
      </c>
      <c r="B373" t="s">
        <v>834</v>
      </c>
      <c r="C373" t="s">
        <v>34</v>
      </c>
      <c r="D373" t="str" cm="1">
        <f t="array" ref="D373">_xlfn.IFS(OR(LOWER(C373)="f",LOWER(C373)="female"),"Female",TRUE,"Male")</f>
        <v>Male</v>
      </c>
      <c r="E373">
        <v>35</v>
      </c>
      <c r="F373">
        <f t="shared" si="25"/>
        <v>35</v>
      </c>
      <c r="G373" t="s">
        <v>186</v>
      </c>
      <c r="H373" t="s">
        <v>79</v>
      </c>
      <c r="I373" t="s">
        <v>37</v>
      </c>
      <c r="J373">
        <v>12</v>
      </c>
      <c r="K373">
        <f t="shared" si="26"/>
        <v>12</v>
      </c>
      <c r="L373" t="s">
        <v>321</v>
      </c>
      <c r="M373" t="str">
        <f t="shared" si="27"/>
        <v> 20</v>
      </c>
      <c r="N373">
        <v>4.1</v>
      </c>
      <c r="O373" s="3">
        <f t="shared" si="28"/>
        <v>4.1</v>
      </c>
      <c r="Q373" t="str" cm="1">
        <f t="array" ref="Q373">_xlfn.IFS(ISBLANK(P373),"Not Specified",OR(P373="N",P373=FALSE,P373="no",P373=0),"no",TRUE,"yes")</f>
        <v>Not Specified</v>
      </c>
      <c r="R373" s="5">
        <v>0.94</v>
      </c>
      <c r="S373">
        <f t="shared" si="29"/>
        <v>94</v>
      </c>
    </row>
    <row r="374" spans="1:19">
      <c r="A374" t="s">
        <v>835</v>
      </c>
      <c r="B374" t="s">
        <v>836</v>
      </c>
      <c r="C374" t="s">
        <v>99</v>
      </c>
      <c r="D374" t="str" cm="1">
        <f t="array" ref="D374">_xlfn.IFS(OR(LOWER(C374)="f",LOWER(C374)="female"),"Female",TRUE,"Male")</f>
        <v>Male</v>
      </c>
      <c r="E374">
        <v>45</v>
      </c>
      <c r="F374">
        <f t="shared" si="25"/>
        <v>45</v>
      </c>
      <c r="G374" t="s">
        <v>100</v>
      </c>
      <c r="H374" t="s">
        <v>101</v>
      </c>
      <c r="I374" t="s">
        <v>58</v>
      </c>
      <c r="J374">
        <v>19</v>
      </c>
      <c r="K374">
        <f t="shared" si="26"/>
        <v>19</v>
      </c>
      <c r="L374" t="s">
        <v>43</v>
      </c>
      <c r="M374" t="str">
        <f t="shared" si="27"/>
        <v>40</v>
      </c>
      <c r="N374">
        <v>2.2</v>
      </c>
      <c r="O374" s="3">
        <f t="shared" si="28"/>
        <v>2.2</v>
      </c>
      <c r="P374">
        <v>1</v>
      </c>
      <c r="Q374" t="str" cm="1">
        <f t="array" ref="Q374">_xlfn.IFS(ISBLANK(P374),"Not Specified",OR(P374="N",P374=FALSE,P374="no",P374=0),"no",TRUE,"yes")</f>
        <v>yes</v>
      </c>
      <c r="R374" s="5">
        <v>0.78</v>
      </c>
      <c r="S374">
        <f t="shared" si="29"/>
        <v>78</v>
      </c>
    </row>
    <row r="375" spans="1:19">
      <c r="A375" t="s">
        <v>837</v>
      </c>
      <c r="B375" t="s">
        <v>838</v>
      </c>
      <c r="C375" t="s">
        <v>46</v>
      </c>
      <c r="D375" t="str" cm="1">
        <f t="array" ref="D375">_xlfn.IFS(OR(LOWER(C375)="f",LOWER(C375)="female"),"Female",TRUE,"Male")</f>
        <v>Female</v>
      </c>
      <c r="E375">
        <v>39</v>
      </c>
      <c r="F375">
        <f t="shared" si="25"/>
        <v>39</v>
      </c>
      <c r="G375" t="s">
        <v>49</v>
      </c>
      <c r="H375" t="s">
        <v>50</v>
      </c>
      <c r="I375" t="s">
        <v>58</v>
      </c>
      <c r="J375">
        <v>13</v>
      </c>
      <c r="K375">
        <f t="shared" si="26"/>
        <v>13</v>
      </c>
      <c r="L375">
        <v>30</v>
      </c>
      <c r="M375" t="str">
        <f t="shared" si="27"/>
        <v>30</v>
      </c>
      <c r="N375">
        <v>1.1</v>
      </c>
      <c r="O375" s="3">
        <f t="shared" si="28"/>
        <v>1.1</v>
      </c>
      <c r="P375">
        <v>1</v>
      </c>
      <c r="Q375" t="str" cm="1">
        <f t="array" ref="Q375">_xlfn.IFS(ISBLANK(P375),"Not Specified",OR(P375="N",P375=FALSE,P375="no",P375=0),"no",TRUE,"yes")</f>
        <v>yes</v>
      </c>
      <c r="S375" t="str">
        <f t="shared" si="29"/>
        <v>Not Specified</v>
      </c>
    </row>
    <row r="376" spans="1:19">
      <c r="A376" t="s">
        <v>839</v>
      </c>
      <c r="B376" t="s">
        <v>840</v>
      </c>
      <c r="C376" t="s">
        <v>68</v>
      </c>
      <c r="D376" t="str" cm="1">
        <f t="array" ref="D376">_xlfn.IFS(OR(LOWER(C376)="f",LOWER(C376)="female"),"Female",TRUE,"Male")</f>
        <v>Male</v>
      </c>
      <c r="F376" t="str">
        <f t="shared" si="25"/>
        <v>Not Specified</v>
      </c>
      <c r="G376" t="s">
        <v>78</v>
      </c>
      <c r="H376" t="s">
        <v>79</v>
      </c>
      <c r="I376" t="s">
        <v>24</v>
      </c>
      <c r="K376" t="str">
        <f t="shared" si="26"/>
        <v>Not Specified</v>
      </c>
      <c r="L376" t="s">
        <v>71</v>
      </c>
      <c r="M376" t="str">
        <f t="shared" si="27"/>
        <v>50</v>
      </c>
      <c r="N376">
        <v>2.1</v>
      </c>
      <c r="O376" s="3">
        <f t="shared" si="28"/>
        <v>2.1</v>
      </c>
      <c r="P376">
        <v>1</v>
      </c>
      <c r="Q376" t="str" cm="1">
        <f t="array" ref="Q376">_xlfn.IFS(ISBLANK(P376),"Not Specified",OR(P376="N",P376=FALSE,P376="no",P376=0),"no",TRUE,"yes")</f>
        <v>yes</v>
      </c>
      <c r="R376" s="5">
        <v>0.82</v>
      </c>
      <c r="S376">
        <f t="shared" si="29"/>
        <v>82</v>
      </c>
    </row>
    <row r="377" spans="1:19">
      <c r="A377" t="s">
        <v>841</v>
      </c>
      <c r="B377" t="s">
        <v>842</v>
      </c>
      <c r="C377" t="s">
        <v>34</v>
      </c>
      <c r="D377" t="str" cm="1">
        <f t="array" ref="D377">_xlfn.IFS(OR(LOWER(C377)="f",LOWER(C377)="female"),"Female",TRUE,"Male")</f>
        <v>Male</v>
      </c>
      <c r="E377">
        <v>24</v>
      </c>
      <c r="F377">
        <f t="shared" si="25"/>
        <v>24</v>
      </c>
      <c r="G377" t="s">
        <v>35</v>
      </c>
      <c r="H377" t="s">
        <v>36</v>
      </c>
      <c r="I377" t="s">
        <v>85</v>
      </c>
      <c r="J377">
        <v>3</v>
      </c>
      <c r="K377">
        <f t="shared" si="26"/>
        <v>3</v>
      </c>
      <c r="L377" t="s">
        <v>52</v>
      </c>
      <c r="M377" t="str">
        <f t="shared" si="27"/>
        <v>30</v>
      </c>
      <c r="N377">
        <v>2.3</v>
      </c>
      <c r="O377" s="3">
        <f t="shared" si="28"/>
        <v>2.3</v>
      </c>
      <c r="P377" t="b">
        <v>0</v>
      </c>
      <c r="Q377" t="str" cm="1">
        <f t="array" ref="Q377">_xlfn.IFS(ISBLANK(P377),"Not Specified",OR(P377="N",P377=FALSE,P377="no",P377=0),"no",TRUE,"yes")</f>
        <v>no</v>
      </c>
      <c r="R377" s="5">
        <v>0.66</v>
      </c>
      <c r="S377">
        <f t="shared" si="29"/>
        <v>66</v>
      </c>
    </row>
    <row r="378" spans="1:19">
      <c r="A378" t="s">
        <v>843</v>
      </c>
      <c r="B378" t="s">
        <v>844</v>
      </c>
      <c r="C378" t="s">
        <v>104</v>
      </c>
      <c r="D378" t="str" cm="1">
        <f t="array" ref="D378">_xlfn.IFS(OR(LOWER(C378)="f",LOWER(C378)="female"),"Female",TRUE,"Male")</f>
        <v>Male</v>
      </c>
      <c r="E378">
        <v>50</v>
      </c>
      <c r="F378">
        <f t="shared" si="25"/>
        <v>50</v>
      </c>
      <c r="G378" t="s">
        <v>28</v>
      </c>
      <c r="H378" t="s">
        <v>29</v>
      </c>
      <c r="I378" t="s">
        <v>37</v>
      </c>
      <c r="J378">
        <v>26</v>
      </c>
      <c r="K378">
        <f t="shared" si="26"/>
        <v>26</v>
      </c>
      <c r="M378" t="str">
        <f t="shared" si="27"/>
        <v>Not Specified</v>
      </c>
      <c r="N378">
        <v>3.6</v>
      </c>
      <c r="O378" s="3">
        <f t="shared" si="28"/>
        <v>3.6</v>
      </c>
      <c r="P378">
        <v>1</v>
      </c>
      <c r="Q378" t="str" cm="1">
        <f t="array" ref="Q378">_xlfn.IFS(ISBLANK(P378),"Not Specified",OR(P378="N",P378=FALSE,P378="no",P378=0),"no",TRUE,"yes")</f>
        <v>yes</v>
      </c>
      <c r="R378">
        <v>82</v>
      </c>
      <c r="S378">
        <f t="shared" si="29"/>
        <v>82</v>
      </c>
    </row>
    <row r="379" spans="1:19">
      <c r="A379" t="s">
        <v>845</v>
      </c>
      <c r="B379" t="s">
        <v>846</v>
      </c>
      <c r="C379" t="s">
        <v>46</v>
      </c>
      <c r="D379" t="str" cm="1">
        <f t="array" ref="D379">_xlfn.IFS(OR(LOWER(C379)="f",LOWER(C379)="female"),"Female",TRUE,"Male")</f>
        <v>Female</v>
      </c>
      <c r="E379">
        <v>23</v>
      </c>
      <c r="F379">
        <f t="shared" si="25"/>
        <v>23</v>
      </c>
      <c r="G379" t="s">
        <v>35</v>
      </c>
      <c r="H379" t="s">
        <v>36</v>
      </c>
      <c r="I379" t="s">
        <v>121</v>
      </c>
      <c r="J379">
        <v>4</v>
      </c>
      <c r="K379">
        <f t="shared" si="26"/>
        <v>4</v>
      </c>
      <c r="L379" t="s">
        <v>321</v>
      </c>
      <c r="M379" t="str">
        <f t="shared" si="27"/>
        <v> 20</v>
      </c>
      <c r="N379">
        <v>4.7</v>
      </c>
      <c r="O379" s="3">
        <f t="shared" si="28"/>
        <v>4.7</v>
      </c>
      <c r="P379" t="b">
        <v>1</v>
      </c>
      <c r="Q379" t="str" cm="1">
        <f t="array" ref="Q379">_xlfn.IFS(ISBLANK(P379),"Not Specified",OR(P379="N",P379=FALSE,P379="no",P379=0),"no",TRUE,"yes")</f>
        <v>yes</v>
      </c>
      <c r="R379" s="5">
        <v>0.84</v>
      </c>
      <c r="S379">
        <f t="shared" si="29"/>
        <v>84</v>
      </c>
    </row>
    <row r="380" spans="1:19">
      <c r="A380" t="s">
        <v>847</v>
      </c>
      <c r="B380" t="s">
        <v>848</v>
      </c>
      <c r="C380" t="s">
        <v>68</v>
      </c>
      <c r="D380" t="str" cm="1">
        <f t="array" ref="D380">_xlfn.IFS(OR(LOWER(C380)="f",LOWER(C380)="female"),"Female",TRUE,"Male")</f>
        <v>Male</v>
      </c>
      <c r="E380">
        <v>27</v>
      </c>
      <c r="F380">
        <f t="shared" si="25"/>
        <v>27</v>
      </c>
      <c r="G380" t="s">
        <v>135</v>
      </c>
      <c r="H380" t="s">
        <v>29</v>
      </c>
      <c r="I380" t="s">
        <v>85</v>
      </c>
      <c r="J380">
        <v>8</v>
      </c>
      <c r="K380">
        <f t="shared" si="26"/>
        <v>8</v>
      </c>
      <c r="L380">
        <v>20</v>
      </c>
      <c r="M380" t="str">
        <f t="shared" si="27"/>
        <v>20</v>
      </c>
      <c r="N380">
        <v>4.8</v>
      </c>
      <c r="O380" s="3">
        <f t="shared" si="28"/>
        <v>4.8</v>
      </c>
      <c r="P380" t="s">
        <v>38</v>
      </c>
      <c r="Q380" t="str" cm="1">
        <f t="array" ref="Q380">_xlfn.IFS(ISBLANK(P380),"Not Specified",OR(P380="N",P380=FALSE,P380="no",P380=0),"no",TRUE,"yes")</f>
        <v>no</v>
      </c>
      <c r="R380" s="5">
        <v>0.81</v>
      </c>
      <c r="S380">
        <f t="shared" si="29"/>
        <v>81</v>
      </c>
    </row>
    <row r="381" spans="1:19">
      <c r="A381" t="s">
        <v>849</v>
      </c>
      <c r="B381" t="s">
        <v>850</v>
      </c>
      <c r="C381" t="s">
        <v>104</v>
      </c>
      <c r="D381" t="str" cm="1">
        <f t="array" ref="D381">_xlfn.IFS(OR(LOWER(C381)="f",LOWER(C381)="female"),"Female",TRUE,"Male")</f>
        <v>Male</v>
      </c>
      <c r="E381">
        <v>58</v>
      </c>
      <c r="F381">
        <f t="shared" si="25"/>
        <v>58</v>
      </c>
      <c r="G381" t="s">
        <v>160</v>
      </c>
      <c r="H381" t="s">
        <v>161</v>
      </c>
      <c r="I381" t="s">
        <v>51</v>
      </c>
      <c r="J381">
        <v>10</v>
      </c>
      <c r="K381">
        <f t="shared" si="26"/>
        <v>10</v>
      </c>
      <c r="L381">
        <v>75</v>
      </c>
      <c r="M381" t="str">
        <f t="shared" si="27"/>
        <v>75</v>
      </c>
      <c r="N381">
        <v>4.2</v>
      </c>
      <c r="O381" s="3">
        <f t="shared" si="28"/>
        <v>4.2</v>
      </c>
      <c r="P381" t="s">
        <v>38</v>
      </c>
      <c r="Q381" t="str" cm="1">
        <f t="array" ref="Q381">_xlfn.IFS(ISBLANK(P381),"Not Specified",OR(P381="N",P381=FALSE,P381="no",P381=0),"no",TRUE,"yes")</f>
        <v>no</v>
      </c>
      <c r="R381">
        <v>71</v>
      </c>
      <c r="S381">
        <f t="shared" si="29"/>
        <v>71</v>
      </c>
    </row>
    <row r="382" spans="1:19">
      <c r="A382" t="s">
        <v>851</v>
      </c>
      <c r="B382" t="s">
        <v>852</v>
      </c>
      <c r="C382" t="s">
        <v>55</v>
      </c>
      <c r="D382" t="str" cm="1">
        <f t="array" ref="D382">_xlfn.IFS(OR(LOWER(C382)="f",LOWER(C382)="female"),"Female",TRUE,"Male")</f>
        <v>Male</v>
      </c>
      <c r="E382">
        <v>37</v>
      </c>
      <c r="F382">
        <f t="shared" si="25"/>
        <v>37</v>
      </c>
      <c r="G382" t="s">
        <v>22</v>
      </c>
      <c r="H382" t="s">
        <v>23</v>
      </c>
      <c r="I382" t="s">
        <v>121</v>
      </c>
      <c r="J382">
        <v>5</v>
      </c>
      <c r="K382">
        <f t="shared" si="26"/>
        <v>5</v>
      </c>
      <c r="M382" t="str">
        <f t="shared" si="27"/>
        <v>Not Specified</v>
      </c>
      <c r="N382">
        <v>4.8</v>
      </c>
      <c r="O382" s="3">
        <f t="shared" si="28"/>
        <v>4.8</v>
      </c>
      <c r="P382">
        <v>1</v>
      </c>
      <c r="Q382" t="str" cm="1">
        <f t="array" ref="Q382">_xlfn.IFS(ISBLANK(P382),"Not Specified",OR(P382="N",P382=FALSE,P382="no",P382=0),"no",TRUE,"yes")</f>
        <v>yes</v>
      </c>
      <c r="R382" s="5">
        <v>0.61</v>
      </c>
      <c r="S382">
        <f t="shared" si="29"/>
        <v>61</v>
      </c>
    </row>
    <row r="383" spans="1:19">
      <c r="A383" t="s">
        <v>853</v>
      </c>
      <c r="B383" t="s">
        <v>854</v>
      </c>
      <c r="C383" t="s">
        <v>68</v>
      </c>
      <c r="D383" t="str" cm="1">
        <f t="array" ref="D383">_xlfn.IFS(OR(LOWER(C383)="f",LOWER(C383)="female"),"Female",TRUE,"Male")</f>
        <v>Male</v>
      </c>
      <c r="E383">
        <v>39</v>
      </c>
      <c r="F383">
        <f t="shared" si="25"/>
        <v>39</v>
      </c>
      <c r="G383" t="s">
        <v>197</v>
      </c>
      <c r="H383" t="s">
        <v>79</v>
      </c>
      <c r="I383" t="s">
        <v>24</v>
      </c>
      <c r="J383">
        <v>18</v>
      </c>
      <c r="K383">
        <f t="shared" si="26"/>
        <v>18</v>
      </c>
      <c r="L383">
        <v>75</v>
      </c>
      <c r="M383" t="str">
        <f t="shared" si="27"/>
        <v>75</v>
      </c>
      <c r="N383">
        <v>4</v>
      </c>
      <c r="O383" s="3">
        <f t="shared" si="28"/>
        <v>4</v>
      </c>
      <c r="P383">
        <v>1</v>
      </c>
      <c r="Q383" t="str" cm="1">
        <f t="array" ref="Q383">_xlfn.IFS(ISBLANK(P383),"Not Specified",OR(P383="N",P383=FALSE,P383="no",P383=0),"no",TRUE,"yes")</f>
        <v>yes</v>
      </c>
      <c r="R383" s="5">
        <v>0.66</v>
      </c>
      <c r="S383">
        <f t="shared" si="29"/>
        <v>66</v>
      </c>
    </row>
    <row r="384" spans="1:19">
      <c r="A384" t="s">
        <v>855</v>
      </c>
      <c r="B384" t="s">
        <v>856</v>
      </c>
      <c r="C384" t="s">
        <v>27</v>
      </c>
      <c r="D384" t="str" cm="1">
        <f t="array" ref="D384">_xlfn.IFS(OR(LOWER(C384)="f",LOWER(C384)="female"),"Female",TRUE,"Male")</f>
        <v>Female</v>
      </c>
      <c r="E384">
        <v>46</v>
      </c>
      <c r="F384">
        <f t="shared" si="25"/>
        <v>46</v>
      </c>
      <c r="G384" t="s">
        <v>146</v>
      </c>
      <c r="H384" t="s">
        <v>147</v>
      </c>
      <c r="I384" t="s">
        <v>58</v>
      </c>
      <c r="J384">
        <v>10</v>
      </c>
      <c r="K384">
        <f t="shared" si="26"/>
        <v>10</v>
      </c>
      <c r="L384" t="s">
        <v>128</v>
      </c>
      <c r="M384" t="str">
        <f t="shared" si="27"/>
        <v>20</v>
      </c>
      <c r="N384">
        <v>2.5</v>
      </c>
      <c r="O384" s="3">
        <f t="shared" si="28"/>
        <v>2.5</v>
      </c>
      <c r="P384" t="b">
        <v>1</v>
      </c>
      <c r="Q384" t="str" cm="1">
        <f t="array" ref="Q384">_xlfn.IFS(ISBLANK(P384),"Not Specified",OR(P384="N",P384=FALSE,P384="no",P384=0),"no",TRUE,"yes")</f>
        <v>yes</v>
      </c>
      <c r="R384" s="5">
        <v>0.97</v>
      </c>
      <c r="S384">
        <f t="shared" si="29"/>
        <v>97</v>
      </c>
    </row>
    <row r="385" spans="1:19">
      <c r="A385" t="s">
        <v>857</v>
      </c>
      <c r="B385" t="s">
        <v>858</v>
      </c>
      <c r="C385" t="s">
        <v>84</v>
      </c>
      <c r="D385" t="str" cm="1">
        <f t="array" ref="D385">_xlfn.IFS(OR(LOWER(C385)="f",LOWER(C385)="female"),"Female",TRUE,"Male")</f>
        <v>Female</v>
      </c>
      <c r="F385" t="str">
        <f t="shared" si="25"/>
        <v>Not Specified</v>
      </c>
      <c r="G385" t="s">
        <v>74</v>
      </c>
      <c r="H385" t="s">
        <v>29</v>
      </c>
      <c r="I385" t="s">
        <v>80</v>
      </c>
      <c r="J385">
        <v>0</v>
      </c>
      <c r="K385">
        <f t="shared" si="26"/>
        <v>0</v>
      </c>
      <c r="L385" t="s">
        <v>321</v>
      </c>
      <c r="M385" t="str">
        <f t="shared" si="27"/>
        <v> 20</v>
      </c>
      <c r="N385">
        <v>4.8</v>
      </c>
      <c r="O385" s="3">
        <f t="shared" si="28"/>
        <v>4.8</v>
      </c>
      <c r="P385">
        <v>0</v>
      </c>
      <c r="Q385" t="str" cm="1">
        <f t="array" ref="Q385">_xlfn.IFS(ISBLANK(P385),"Not Specified",OR(P385="N",P385=FALSE,P385="no",P385=0),"no",TRUE,"yes")</f>
        <v>no</v>
      </c>
      <c r="R385" s="5">
        <v>0.74</v>
      </c>
      <c r="S385">
        <f t="shared" si="29"/>
        <v>74</v>
      </c>
    </row>
    <row r="386" spans="1:19">
      <c r="A386" t="s">
        <v>859</v>
      </c>
      <c r="B386" t="s">
        <v>860</v>
      </c>
      <c r="C386" t="s">
        <v>21</v>
      </c>
      <c r="D386" t="str" cm="1">
        <f t="array" ref="D386">_xlfn.IFS(OR(LOWER(C386)="f",LOWER(C386)="female"),"Female",TRUE,"Male")</f>
        <v>Female</v>
      </c>
      <c r="E386">
        <v>39</v>
      </c>
      <c r="F386">
        <f t="shared" si="25"/>
        <v>39</v>
      </c>
      <c r="G386" t="s">
        <v>186</v>
      </c>
      <c r="H386" t="s">
        <v>79</v>
      </c>
      <c r="I386" t="s">
        <v>24</v>
      </c>
      <c r="J386">
        <v>21</v>
      </c>
      <c r="K386">
        <f t="shared" si="26"/>
        <v>21</v>
      </c>
      <c r="L386">
        <v>30</v>
      </c>
      <c r="M386" t="str">
        <f t="shared" si="27"/>
        <v>30</v>
      </c>
      <c r="N386">
        <v>4.7</v>
      </c>
      <c r="O386" s="3">
        <f t="shared" si="28"/>
        <v>4.7</v>
      </c>
      <c r="P386" t="b">
        <v>0</v>
      </c>
      <c r="Q386" t="str" cm="1">
        <f t="array" ref="Q386">_xlfn.IFS(ISBLANK(P386),"Not Specified",OR(P386="N",P386=FALSE,P386="no",P386=0),"no",TRUE,"yes")</f>
        <v>no</v>
      </c>
      <c r="R386" s="5">
        <v>0.61</v>
      </c>
      <c r="S386">
        <f t="shared" si="29"/>
        <v>61</v>
      </c>
    </row>
    <row r="387" spans="1:19">
      <c r="A387" t="s">
        <v>861</v>
      </c>
      <c r="B387" t="s">
        <v>862</v>
      </c>
      <c r="C387" t="s">
        <v>99</v>
      </c>
      <c r="D387" t="str" cm="1">
        <f t="array" ref="D387">_xlfn.IFS(OR(LOWER(C387)="f",LOWER(C387)="female"),"Female",TRUE,"Male")</f>
        <v>Male</v>
      </c>
      <c r="E387">
        <v>59</v>
      </c>
      <c r="F387">
        <f t="shared" ref="F387:F450" si="30">IF(ISNUMBER(E387),E387,"Not Specified")</f>
        <v>59</v>
      </c>
      <c r="G387" t="s">
        <v>146</v>
      </c>
      <c r="H387" t="s">
        <v>147</v>
      </c>
      <c r="I387" t="s">
        <v>24</v>
      </c>
      <c r="J387">
        <v>25</v>
      </c>
      <c r="K387">
        <f t="shared" ref="K387:K450" si="31">IF(ISNUMBER(J387),J387,"Not Specified")</f>
        <v>25</v>
      </c>
      <c r="L387">
        <v>20</v>
      </c>
      <c r="M387" t="str">
        <f t="shared" ref="M387:M450" si="32">IF(SUBSTITUTE(SUBSTITUTE(L387,"USD",""),"$","")="","Not Specified",SUBSTITUTE(SUBSTITUTE(L387,"USD",""),"$",""))</f>
        <v>20</v>
      </c>
      <c r="N387">
        <v>4</v>
      </c>
      <c r="O387" s="3">
        <f t="shared" ref="O387:O450" si="33">IF(OR(N387="",N387=0),"Not Specified",N387)</f>
        <v>4</v>
      </c>
      <c r="P387">
        <v>0</v>
      </c>
      <c r="Q387" t="str" cm="1">
        <f t="array" ref="Q387">_xlfn.IFS(ISBLANK(P387),"Not Specified",OR(P387="N",P387=FALSE,P387="no",P387=0),"no",TRUE,"yes")</f>
        <v>no</v>
      </c>
      <c r="R387" s="5">
        <v>0.9</v>
      </c>
      <c r="S387">
        <f t="shared" ref="S387:S450" si="34">IF(ISBLANK(R387),"Not Specified",IF(R387&lt;=1,R387*100,R387))</f>
        <v>90</v>
      </c>
    </row>
    <row r="388" spans="1:19">
      <c r="A388" t="s">
        <v>863</v>
      </c>
      <c r="B388" t="s">
        <v>864</v>
      </c>
      <c r="C388" t="s">
        <v>55</v>
      </c>
      <c r="D388" t="str" cm="1">
        <f t="array" ref="D388">_xlfn.IFS(OR(LOWER(C388)="f",LOWER(C388)="female"),"Female",TRUE,"Male")</f>
        <v>Male</v>
      </c>
      <c r="E388">
        <v>21</v>
      </c>
      <c r="F388">
        <f t="shared" si="30"/>
        <v>21</v>
      </c>
      <c r="G388" t="s">
        <v>49</v>
      </c>
      <c r="H388" t="s">
        <v>50</v>
      </c>
      <c r="I388" t="s">
        <v>96</v>
      </c>
      <c r="J388">
        <v>0</v>
      </c>
      <c r="K388">
        <f t="shared" si="31"/>
        <v>0</v>
      </c>
      <c r="L388" t="s">
        <v>43</v>
      </c>
      <c r="M388" t="str">
        <f t="shared" si="32"/>
        <v>40</v>
      </c>
      <c r="N388">
        <v>4.1</v>
      </c>
      <c r="O388" s="3">
        <f t="shared" si="33"/>
        <v>4.1</v>
      </c>
      <c r="P388" t="s">
        <v>81</v>
      </c>
      <c r="Q388" t="str" cm="1">
        <f t="array" ref="Q388">_xlfn.IFS(ISBLANK(P388),"Not Specified",OR(P388="N",P388=FALSE,P388="no",P388=0),"no",TRUE,"yes")</f>
        <v>yes</v>
      </c>
      <c r="R388" s="5">
        <v>0.97</v>
      </c>
      <c r="S388">
        <f t="shared" si="34"/>
        <v>97</v>
      </c>
    </row>
    <row r="389" spans="1:19">
      <c r="A389" t="s">
        <v>865</v>
      </c>
      <c r="B389" t="s">
        <v>866</v>
      </c>
      <c r="C389" t="s">
        <v>27</v>
      </c>
      <c r="D389" t="str" cm="1">
        <f t="array" ref="D389">_xlfn.IFS(OR(LOWER(C389)="f",LOWER(C389)="female"),"Female",TRUE,"Male")</f>
        <v>Female</v>
      </c>
      <c r="E389">
        <v>23</v>
      </c>
      <c r="F389">
        <f t="shared" si="30"/>
        <v>23</v>
      </c>
      <c r="G389" t="s">
        <v>135</v>
      </c>
      <c r="H389" t="s">
        <v>29</v>
      </c>
      <c r="I389" t="s">
        <v>96</v>
      </c>
      <c r="J389">
        <v>5</v>
      </c>
      <c r="K389">
        <f t="shared" si="31"/>
        <v>5</v>
      </c>
      <c r="L389">
        <v>100</v>
      </c>
      <c r="M389" t="str">
        <f t="shared" si="32"/>
        <v>100</v>
      </c>
      <c r="N389">
        <v>3.2</v>
      </c>
      <c r="O389" s="3">
        <f t="shared" si="33"/>
        <v>3.2</v>
      </c>
      <c r="P389">
        <v>1</v>
      </c>
      <c r="Q389" t="str" cm="1">
        <f t="array" ref="Q389">_xlfn.IFS(ISBLANK(P389),"Not Specified",OR(P389="N",P389=FALSE,P389="no",P389=0),"no",TRUE,"yes")</f>
        <v>yes</v>
      </c>
      <c r="S389" t="str">
        <f t="shared" si="34"/>
        <v>Not Specified</v>
      </c>
    </row>
    <row r="390" spans="1:19">
      <c r="A390" t="s">
        <v>867</v>
      </c>
      <c r="B390" t="s">
        <v>868</v>
      </c>
      <c r="C390" t="s">
        <v>55</v>
      </c>
      <c r="D390" t="str" cm="1">
        <f t="array" ref="D390">_xlfn.IFS(OR(LOWER(C390)="f",LOWER(C390)="female"),"Female",TRUE,"Male")</f>
        <v>Male</v>
      </c>
      <c r="E390">
        <v>27</v>
      </c>
      <c r="F390">
        <f t="shared" si="30"/>
        <v>27</v>
      </c>
      <c r="G390" t="s">
        <v>146</v>
      </c>
      <c r="H390" t="s">
        <v>147</v>
      </c>
      <c r="I390" t="s">
        <v>42</v>
      </c>
      <c r="J390">
        <v>1</v>
      </c>
      <c r="K390">
        <f t="shared" si="31"/>
        <v>1</v>
      </c>
      <c r="L390">
        <v>20</v>
      </c>
      <c r="M390" t="str">
        <f t="shared" si="32"/>
        <v>20</v>
      </c>
      <c r="N390">
        <v>4.3</v>
      </c>
      <c r="O390" s="3">
        <f t="shared" si="33"/>
        <v>4.3</v>
      </c>
      <c r="P390" t="s">
        <v>38</v>
      </c>
      <c r="Q390" t="str" cm="1">
        <f t="array" ref="Q390">_xlfn.IFS(ISBLANK(P390),"Not Specified",OR(P390="N",P390=FALSE,P390="no",P390=0),"no",TRUE,"yes")</f>
        <v>no</v>
      </c>
      <c r="R390" s="5">
        <v>0.76</v>
      </c>
      <c r="S390">
        <f t="shared" si="34"/>
        <v>76</v>
      </c>
    </row>
    <row r="391" spans="1:19">
      <c r="A391" t="s">
        <v>869</v>
      </c>
      <c r="B391" t="s">
        <v>870</v>
      </c>
      <c r="C391" t="s">
        <v>55</v>
      </c>
      <c r="D391" t="str" cm="1">
        <f t="array" ref="D391">_xlfn.IFS(OR(LOWER(C391)="f",LOWER(C391)="female"),"Female",TRUE,"Male")</f>
        <v>Male</v>
      </c>
      <c r="E391">
        <v>27</v>
      </c>
      <c r="F391">
        <f t="shared" si="30"/>
        <v>27</v>
      </c>
      <c r="G391" t="s">
        <v>182</v>
      </c>
      <c r="H391" t="s">
        <v>183</v>
      </c>
      <c r="I391" t="s">
        <v>85</v>
      </c>
      <c r="J391">
        <v>4</v>
      </c>
      <c r="K391">
        <f t="shared" si="31"/>
        <v>4</v>
      </c>
      <c r="L391">
        <v>40</v>
      </c>
      <c r="M391" t="str">
        <f t="shared" si="32"/>
        <v>40</v>
      </c>
      <c r="N391">
        <v>4.4</v>
      </c>
      <c r="O391" s="3">
        <f t="shared" si="33"/>
        <v>4.4</v>
      </c>
      <c r="P391">
        <v>0</v>
      </c>
      <c r="Q391" t="str" cm="1">
        <f t="array" ref="Q391">_xlfn.IFS(ISBLANK(P391),"Not Specified",OR(P391="N",P391=FALSE,P391="no",P391=0),"no",TRUE,"yes")</f>
        <v>no</v>
      </c>
      <c r="R391" s="5">
        <v>0.92</v>
      </c>
      <c r="S391">
        <f t="shared" si="34"/>
        <v>92</v>
      </c>
    </row>
    <row r="392" spans="1:19">
      <c r="A392" t="s">
        <v>871</v>
      </c>
      <c r="B392" t="s">
        <v>872</v>
      </c>
      <c r="C392" t="s">
        <v>41</v>
      </c>
      <c r="D392" t="str" cm="1">
        <f t="array" ref="D392">_xlfn.IFS(OR(LOWER(C392)="f",LOWER(C392)="female"),"Female",TRUE,"Male")</f>
        <v>Female</v>
      </c>
      <c r="E392">
        <v>48</v>
      </c>
      <c r="F392">
        <f t="shared" si="30"/>
        <v>48</v>
      </c>
      <c r="G392" t="s">
        <v>160</v>
      </c>
      <c r="H392" t="s">
        <v>161</v>
      </c>
      <c r="I392" t="s">
        <v>58</v>
      </c>
      <c r="J392">
        <v>21</v>
      </c>
      <c r="K392">
        <f t="shared" si="31"/>
        <v>21</v>
      </c>
      <c r="L392">
        <v>40</v>
      </c>
      <c r="M392" t="str">
        <f t="shared" si="32"/>
        <v>40</v>
      </c>
      <c r="N392">
        <v>2.3</v>
      </c>
      <c r="O392" s="3">
        <f t="shared" si="33"/>
        <v>2.3</v>
      </c>
      <c r="P392">
        <v>0</v>
      </c>
      <c r="Q392" t="str" cm="1">
        <f t="array" ref="Q392">_xlfn.IFS(ISBLANK(P392),"Not Specified",OR(P392="N",P392=FALSE,P392="no",P392=0),"no",TRUE,"yes")</f>
        <v>no</v>
      </c>
      <c r="S392" t="str">
        <f t="shared" si="34"/>
        <v>Not Specified</v>
      </c>
    </row>
    <row r="393" spans="1:19">
      <c r="A393" t="s">
        <v>873</v>
      </c>
      <c r="B393" t="s">
        <v>874</v>
      </c>
      <c r="C393" t="s">
        <v>68</v>
      </c>
      <c r="D393" t="str" cm="1">
        <f t="array" ref="D393">_xlfn.IFS(OR(LOWER(C393)="f",LOWER(C393)="female"),"Female",TRUE,"Male")</f>
        <v>Male</v>
      </c>
      <c r="E393">
        <v>21</v>
      </c>
      <c r="F393">
        <f t="shared" si="30"/>
        <v>21</v>
      </c>
      <c r="G393" t="s">
        <v>160</v>
      </c>
      <c r="H393" t="s">
        <v>161</v>
      </c>
      <c r="I393" t="s">
        <v>51</v>
      </c>
      <c r="J393">
        <v>1</v>
      </c>
      <c r="K393">
        <f t="shared" si="31"/>
        <v>1</v>
      </c>
      <c r="L393" t="s">
        <v>128</v>
      </c>
      <c r="M393" t="str">
        <f t="shared" si="32"/>
        <v>20</v>
      </c>
      <c r="N393">
        <v>2.4</v>
      </c>
      <c r="O393" s="3">
        <f t="shared" si="33"/>
        <v>2.4</v>
      </c>
      <c r="P393">
        <v>1</v>
      </c>
      <c r="Q393" t="str" cm="1">
        <f t="array" ref="Q393">_xlfn.IFS(ISBLANK(P393),"Not Specified",OR(P393="N",P393=FALSE,P393="no",P393=0),"no",TRUE,"yes")</f>
        <v>yes</v>
      </c>
      <c r="R393" s="5">
        <v>0.66</v>
      </c>
      <c r="S393">
        <f t="shared" si="34"/>
        <v>66</v>
      </c>
    </row>
    <row r="394" spans="1:19">
      <c r="A394" t="s">
        <v>875</v>
      </c>
      <c r="B394" t="s">
        <v>876</v>
      </c>
      <c r="C394" t="s">
        <v>55</v>
      </c>
      <c r="D394" t="str" cm="1">
        <f t="array" ref="D394">_xlfn.IFS(OR(LOWER(C394)="f",LOWER(C394)="female"),"Female",TRUE,"Male")</f>
        <v>Male</v>
      </c>
      <c r="E394">
        <v>37</v>
      </c>
      <c r="F394">
        <f t="shared" si="30"/>
        <v>37</v>
      </c>
      <c r="G394" t="s">
        <v>22</v>
      </c>
      <c r="H394" t="s">
        <v>23</v>
      </c>
      <c r="I394" t="s">
        <v>96</v>
      </c>
      <c r="K394" t="str">
        <f t="shared" si="31"/>
        <v>Not Specified</v>
      </c>
      <c r="L394">
        <v>50</v>
      </c>
      <c r="M394" t="str">
        <f t="shared" si="32"/>
        <v>50</v>
      </c>
      <c r="N394">
        <v>4.6</v>
      </c>
      <c r="O394" s="3">
        <f t="shared" si="33"/>
        <v>4.6</v>
      </c>
      <c r="P394">
        <v>0</v>
      </c>
      <c r="Q394" t="str" cm="1">
        <f t="array" ref="Q394">_xlfn.IFS(ISBLANK(P394),"Not Specified",OR(P394="N",P394=FALSE,P394="no",P394=0),"no",TRUE,"yes")</f>
        <v>no</v>
      </c>
      <c r="R394" s="5">
        <v>0.83</v>
      </c>
      <c r="S394">
        <f t="shared" si="34"/>
        <v>83</v>
      </c>
    </row>
    <row r="395" spans="1:19">
      <c r="A395" t="s">
        <v>877</v>
      </c>
      <c r="B395" t="s">
        <v>878</v>
      </c>
      <c r="C395" t="s">
        <v>41</v>
      </c>
      <c r="D395" t="str" cm="1">
        <f t="array" ref="D395">_xlfn.IFS(OR(LOWER(C395)="f",LOWER(C395)="female"),"Female",TRUE,"Male")</f>
        <v>Female</v>
      </c>
      <c r="E395">
        <v>31</v>
      </c>
      <c r="F395">
        <f t="shared" si="30"/>
        <v>31</v>
      </c>
      <c r="G395" t="s">
        <v>35</v>
      </c>
      <c r="H395" t="s">
        <v>36</v>
      </c>
      <c r="I395" t="s">
        <v>80</v>
      </c>
      <c r="J395">
        <v>10</v>
      </c>
      <c r="K395">
        <f t="shared" si="31"/>
        <v>10</v>
      </c>
      <c r="L395">
        <v>50</v>
      </c>
      <c r="M395" t="str">
        <f t="shared" si="32"/>
        <v>50</v>
      </c>
      <c r="N395">
        <v>0</v>
      </c>
      <c r="O395" s="3" t="str">
        <f t="shared" si="33"/>
        <v>Not Specified</v>
      </c>
      <c r="P395" t="s">
        <v>166</v>
      </c>
      <c r="Q395" t="str" cm="1">
        <f t="array" ref="Q395">_xlfn.IFS(ISBLANK(P395),"Not Specified",OR(P395="N",P395=FALSE,P395="no",P395=0),"no",TRUE,"yes")</f>
        <v>no</v>
      </c>
      <c r="S395" t="str">
        <f t="shared" si="34"/>
        <v>Not Specified</v>
      </c>
    </row>
    <row r="396" spans="1:19">
      <c r="A396" t="s">
        <v>879</v>
      </c>
      <c r="B396" t="s">
        <v>880</v>
      </c>
      <c r="C396" t="s">
        <v>21</v>
      </c>
      <c r="D396" t="str" cm="1">
        <f t="array" ref="D396">_xlfn.IFS(OR(LOWER(C396)="f",LOWER(C396)="female"),"Female",TRUE,"Male")</f>
        <v>Female</v>
      </c>
      <c r="E396">
        <v>41</v>
      </c>
      <c r="F396">
        <f t="shared" si="30"/>
        <v>41</v>
      </c>
      <c r="G396" t="s">
        <v>146</v>
      </c>
      <c r="H396" t="s">
        <v>147</v>
      </c>
      <c r="I396" t="s">
        <v>24</v>
      </c>
      <c r="J396">
        <v>21</v>
      </c>
      <c r="K396">
        <f t="shared" si="31"/>
        <v>21</v>
      </c>
      <c r="M396" t="str">
        <f t="shared" si="32"/>
        <v>Not Specified</v>
      </c>
      <c r="N396">
        <v>0</v>
      </c>
      <c r="O396" s="3" t="str">
        <f t="shared" si="33"/>
        <v>Not Specified</v>
      </c>
      <c r="P396" t="s">
        <v>81</v>
      </c>
      <c r="Q396" t="str" cm="1">
        <f t="array" ref="Q396">_xlfn.IFS(ISBLANK(P396),"Not Specified",OR(P396="N",P396=FALSE,P396="no",P396=0),"no",TRUE,"yes")</f>
        <v>yes</v>
      </c>
      <c r="S396" t="str">
        <f t="shared" si="34"/>
        <v>Not Specified</v>
      </c>
    </row>
    <row r="397" spans="1:19">
      <c r="A397" t="s">
        <v>881</v>
      </c>
      <c r="B397" t="s">
        <v>882</v>
      </c>
      <c r="C397" t="s">
        <v>34</v>
      </c>
      <c r="D397" t="str" cm="1">
        <f t="array" ref="D397">_xlfn.IFS(OR(LOWER(C397)="f",LOWER(C397)="female"),"Female",TRUE,"Male")</f>
        <v>Male</v>
      </c>
      <c r="E397">
        <v>31</v>
      </c>
      <c r="F397">
        <f t="shared" si="30"/>
        <v>31</v>
      </c>
      <c r="G397" t="s">
        <v>131</v>
      </c>
      <c r="H397" t="s">
        <v>132</v>
      </c>
      <c r="I397" t="s">
        <v>85</v>
      </c>
      <c r="J397">
        <v>0</v>
      </c>
      <c r="K397">
        <f t="shared" si="31"/>
        <v>0</v>
      </c>
      <c r="L397" t="s">
        <v>128</v>
      </c>
      <c r="M397" t="str">
        <f t="shared" si="32"/>
        <v>20</v>
      </c>
      <c r="N397">
        <v>4.2</v>
      </c>
      <c r="O397" s="3">
        <f t="shared" si="33"/>
        <v>4.2</v>
      </c>
      <c r="P397" t="s">
        <v>81</v>
      </c>
      <c r="Q397" t="str" cm="1">
        <f t="array" ref="Q397">_xlfn.IFS(ISBLANK(P397),"Not Specified",OR(P397="N",P397=FALSE,P397="no",P397=0),"no",TRUE,"yes")</f>
        <v>yes</v>
      </c>
      <c r="R397">
        <v>82</v>
      </c>
      <c r="S397">
        <f t="shared" si="34"/>
        <v>82</v>
      </c>
    </row>
    <row r="398" spans="1:19">
      <c r="A398" t="s">
        <v>883</v>
      </c>
      <c r="B398" t="s">
        <v>884</v>
      </c>
      <c r="C398" t="s">
        <v>27</v>
      </c>
      <c r="D398" t="str" cm="1">
        <f t="array" ref="D398">_xlfn.IFS(OR(LOWER(C398)="f",LOWER(C398)="female"),"Female",TRUE,"Male")</f>
        <v>Female</v>
      </c>
      <c r="E398">
        <v>58</v>
      </c>
      <c r="F398">
        <f t="shared" si="30"/>
        <v>58</v>
      </c>
      <c r="G398" t="s">
        <v>78</v>
      </c>
      <c r="H398" t="s">
        <v>79</v>
      </c>
      <c r="I398" t="s">
        <v>58</v>
      </c>
      <c r="J398">
        <v>0</v>
      </c>
      <c r="K398">
        <f t="shared" si="31"/>
        <v>0</v>
      </c>
      <c r="L398">
        <v>50</v>
      </c>
      <c r="M398" t="str">
        <f t="shared" si="32"/>
        <v>50</v>
      </c>
      <c r="N398">
        <v>2.3</v>
      </c>
      <c r="O398" s="3">
        <f t="shared" si="33"/>
        <v>2.3</v>
      </c>
      <c r="P398">
        <v>0</v>
      </c>
      <c r="Q398" t="str" cm="1">
        <f t="array" ref="Q398">_xlfn.IFS(ISBLANK(P398),"Not Specified",OR(P398="N",P398=FALSE,P398="no",P398=0),"no",TRUE,"yes")</f>
        <v>no</v>
      </c>
      <c r="R398" s="5">
        <v>0.77</v>
      </c>
      <c r="S398">
        <f t="shared" si="34"/>
        <v>77</v>
      </c>
    </row>
    <row r="399" spans="1:19">
      <c r="A399" t="s">
        <v>885</v>
      </c>
      <c r="B399" t="s">
        <v>886</v>
      </c>
      <c r="C399" t="s">
        <v>21</v>
      </c>
      <c r="D399" t="str" cm="1">
        <f t="array" ref="D399">_xlfn.IFS(OR(LOWER(C399)="f",LOWER(C399)="female"),"Female",TRUE,"Male")</f>
        <v>Female</v>
      </c>
      <c r="E399">
        <v>45</v>
      </c>
      <c r="F399">
        <f t="shared" si="30"/>
        <v>45</v>
      </c>
      <c r="G399" t="s">
        <v>49</v>
      </c>
      <c r="H399" t="s">
        <v>50</v>
      </c>
      <c r="I399" t="s">
        <v>58</v>
      </c>
      <c r="J399">
        <v>17</v>
      </c>
      <c r="K399">
        <f t="shared" si="31"/>
        <v>17</v>
      </c>
      <c r="L399" t="s">
        <v>71</v>
      </c>
      <c r="M399" t="str">
        <f t="shared" si="32"/>
        <v>50</v>
      </c>
      <c r="N399">
        <v>4.7</v>
      </c>
      <c r="O399" s="3">
        <f t="shared" si="33"/>
        <v>4.7</v>
      </c>
      <c r="P399">
        <v>1</v>
      </c>
      <c r="Q399" t="str" cm="1">
        <f t="array" ref="Q399">_xlfn.IFS(ISBLANK(P399),"Not Specified",OR(P399="N",P399=FALSE,P399="no",P399=0),"no",TRUE,"yes")</f>
        <v>yes</v>
      </c>
      <c r="R399" s="5">
        <v>0.73</v>
      </c>
      <c r="S399">
        <f t="shared" si="34"/>
        <v>73</v>
      </c>
    </row>
    <row r="400" spans="1:19">
      <c r="A400" t="s">
        <v>887</v>
      </c>
      <c r="B400" t="s">
        <v>888</v>
      </c>
      <c r="C400" t="s">
        <v>55</v>
      </c>
      <c r="D400" t="str" cm="1">
        <f t="array" ref="D400">_xlfn.IFS(OR(LOWER(C400)="f",LOWER(C400)="female"),"Female",TRUE,"Male")</f>
        <v>Male</v>
      </c>
      <c r="E400">
        <v>51</v>
      </c>
      <c r="F400">
        <f t="shared" si="30"/>
        <v>51</v>
      </c>
      <c r="G400" t="s">
        <v>119</v>
      </c>
      <c r="H400" t="s">
        <v>120</v>
      </c>
      <c r="I400" t="s">
        <v>85</v>
      </c>
      <c r="J400">
        <v>5</v>
      </c>
      <c r="K400">
        <f t="shared" si="31"/>
        <v>5</v>
      </c>
      <c r="M400" t="str">
        <f t="shared" si="32"/>
        <v>Not Specified</v>
      </c>
      <c r="N400">
        <v>3</v>
      </c>
      <c r="O400" s="3">
        <f t="shared" si="33"/>
        <v>3</v>
      </c>
      <c r="P400">
        <v>1</v>
      </c>
      <c r="Q400" t="str" cm="1">
        <f t="array" ref="Q400">_xlfn.IFS(ISBLANK(P400),"Not Specified",OR(P400="N",P400=FALSE,P400="no",P400=0),"no",TRUE,"yes")</f>
        <v>yes</v>
      </c>
      <c r="R400" s="5">
        <v>0.88</v>
      </c>
      <c r="S400">
        <f t="shared" si="34"/>
        <v>88</v>
      </c>
    </row>
    <row r="401" spans="1:19">
      <c r="A401" t="s">
        <v>889</v>
      </c>
      <c r="B401" t="s">
        <v>890</v>
      </c>
      <c r="C401" t="s">
        <v>68</v>
      </c>
      <c r="D401" t="str" cm="1">
        <f t="array" ref="D401">_xlfn.IFS(OR(LOWER(C401)="f",LOWER(C401)="female"),"Female",TRUE,"Male")</f>
        <v>Male</v>
      </c>
      <c r="E401">
        <v>54</v>
      </c>
      <c r="F401">
        <f t="shared" si="30"/>
        <v>54</v>
      </c>
      <c r="G401" t="s">
        <v>65</v>
      </c>
      <c r="H401" t="s">
        <v>29</v>
      </c>
      <c r="I401" t="s">
        <v>80</v>
      </c>
      <c r="J401">
        <v>3</v>
      </c>
      <c r="K401">
        <f t="shared" si="31"/>
        <v>3</v>
      </c>
      <c r="L401" t="s">
        <v>116</v>
      </c>
      <c r="M401" t="str">
        <f t="shared" si="32"/>
        <v> 30</v>
      </c>
      <c r="N401">
        <v>2.4</v>
      </c>
      <c r="O401" s="3">
        <f t="shared" si="33"/>
        <v>2.4</v>
      </c>
      <c r="P401">
        <v>0</v>
      </c>
      <c r="Q401" t="str" cm="1">
        <f t="array" ref="Q401">_xlfn.IFS(ISBLANK(P401),"Not Specified",OR(P401="N",P401=FALSE,P401="no",P401=0),"no",TRUE,"yes")</f>
        <v>no</v>
      </c>
      <c r="R401" s="5">
        <v>0.81</v>
      </c>
      <c r="S401">
        <f t="shared" si="34"/>
        <v>81</v>
      </c>
    </row>
    <row r="402" spans="1:19">
      <c r="A402" t="s">
        <v>891</v>
      </c>
      <c r="B402" t="s">
        <v>892</v>
      </c>
      <c r="C402" t="s">
        <v>99</v>
      </c>
      <c r="D402" t="str" cm="1">
        <f t="array" ref="D402">_xlfn.IFS(OR(LOWER(C402)="f",LOWER(C402)="female"),"Female",TRUE,"Male")</f>
        <v>Male</v>
      </c>
      <c r="E402">
        <v>22</v>
      </c>
      <c r="F402">
        <f t="shared" si="30"/>
        <v>22</v>
      </c>
      <c r="G402" t="s">
        <v>131</v>
      </c>
      <c r="H402" t="s">
        <v>132</v>
      </c>
      <c r="I402" t="s">
        <v>58</v>
      </c>
      <c r="J402">
        <v>1</v>
      </c>
      <c r="K402">
        <f t="shared" si="31"/>
        <v>1</v>
      </c>
      <c r="L402">
        <v>20</v>
      </c>
      <c r="M402" t="str">
        <f t="shared" si="32"/>
        <v>20</v>
      </c>
      <c r="N402">
        <v>1.7</v>
      </c>
      <c r="O402" s="3">
        <f t="shared" si="33"/>
        <v>1.7</v>
      </c>
      <c r="P402" t="s">
        <v>38</v>
      </c>
      <c r="Q402" t="str" cm="1">
        <f t="array" ref="Q402">_xlfn.IFS(ISBLANK(P402),"Not Specified",OR(P402="N",P402=FALSE,P402="no",P402=0),"no",TRUE,"yes")</f>
        <v>no</v>
      </c>
      <c r="R402" s="5">
        <v>0.78</v>
      </c>
      <c r="S402">
        <f t="shared" si="34"/>
        <v>78</v>
      </c>
    </row>
    <row r="403" spans="1:19">
      <c r="A403" t="s">
        <v>893</v>
      </c>
      <c r="B403" t="s">
        <v>894</v>
      </c>
      <c r="C403" t="s">
        <v>99</v>
      </c>
      <c r="D403" t="str" cm="1">
        <f t="array" ref="D403">_xlfn.IFS(OR(LOWER(C403)="f",LOWER(C403)="female"),"Female",TRUE,"Male")</f>
        <v>Male</v>
      </c>
      <c r="E403">
        <v>36</v>
      </c>
      <c r="F403">
        <f t="shared" si="30"/>
        <v>36</v>
      </c>
      <c r="G403" t="s">
        <v>69</v>
      </c>
      <c r="H403" t="s">
        <v>70</v>
      </c>
      <c r="I403" t="s">
        <v>85</v>
      </c>
      <c r="J403">
        <v>2</v>
      </c>
      <c r="K403">
        <f t="shared" si="31"/>
        <v>2</v>
      </c>
      <c r="L403">
        <v>75</v>
      </c>
      <c r="M403" t="str">
        <f t="shared" si="32"/>
        <v>75</v>
      </c>
      <c r="N403">
        <v>0</v>
      </c>
      <c r="O403" s="3" t="str">
        <f t="shared" si="33"/>
        <v>Not Specified</v>
      </c>
      <c r="P403" t="b">
        <v>0</v>
      </c>
      <c r="Q403" t="str" cm="1">
        <f t="array" ref="Q403">_xlfn.IFS(ISBLANK(P403),"Not Specified",OR(P403="N",P403=FALSE,P403="no",P403=0),"no",TRUE,"yes")</f>
        <v>no</v>
      </c>
      <c r="R403" s="5">
        <v>0.92</v>
      </c>
      <c r="S403">
        <f t="shared" si="34"/>
        <v>92</v>
      </c>
    </row>
    <row r="404" spans="1:19">
      <c r="A404" t="s">
        <v>895</v>
      </c>
      <c r="B404" t="s">
        <v>896</v>
      </c>
      <c r="C404" t="s">
        <v>68</v>
      </c>
      <c r="D404" t="str" cm="1">
        <f t="array" ref="D404">_xlfn.IFS(OR(LOWER(C404)="f",LOWER(C404)="female"),"Female",TRUE,"Male")</f>
        <v>Male</v>
      </c>
      <c r="E404">
        <v>50</v>
      </c>
      <c r="F404">
        <f t="shared" si="30"/>
        <v>50</v>
      </c>
      <c r="G404" t="s">
        <v>35</v>
      </c>
      <c r="H404" t="s">
        <v>36</v>
      </c>
      <c r="I404" t="s">
        <v>96</v>
      </c>
      <c r="J404">
        <v>32</v>
      </c>
      <c r="K404">
        <f t="shared" si="31"/>
        <v>32</v>
      </c>
      <c r="L404" t="s">
        <v>52</v>
      </c>
      <c r="M404" t="str">
        <f t="shared" si="32"/>
        <v>30</v>
      </c>
      <c r="O404" s="3" t="str">
        <f t="shared" si="33"/>
        <v>Not Specified</v>
      </c>
      <c r="P404">
        <v>0</v>
      </c>
      <c r="Q404" t="str" cm="1">
        <f t="array" ref="Q404">_xlfn.IFS(ISBLANK(P404),"Not Specified",OR(P404="N",P404=FALSE,P404="no",P404=0),"no",TRUE,"yes")</f>
        <v>no</v>
      </c>
      <c r="R404" s="5">
        <v>0.64</v>
      </c>
      <c r="S404">
        <f t="shared" si="34"/>
        <v>64</v>
      </c>
    </row>
    <row r="405" spans="1:19">
      <c r="A405" t="s">
        <v>897</v>
      </c>
      <c r="B405" t="s">
        <v>898</v>
      </c>
      <c r="C405" t="s">
        <v>84</v>
      </c>
      <c r="D405" t="str" cm="1">
        <f t="array" ref="D405">_xlfn.IFS(OR(LOWER(C405)="f",LOWER(C405)="female"),"Female",TRUE,"Male")</f>
        <v>Female</v>
      </c>
      <c r="E405">
        <v>41</v>
      </c>
      <c r="F405">
        <f t="shared" si="30"/>
        <v>41</v>
      </c>
      <c r="G405" t="s">
        <v>28</v>
      </c>
      <c r="H405" t="s">
        <v>29</v>
      </c>
      <c r="I405" t="s">
        <v>24</v>
      </c>
      <c r="J405">
        <v>14</v>
      </c>
      <c r="K405">
        <f t="shared" si="31"/>
        <v>14</v>
      </c>
      <c r="L405">
        <v>30</v>
      </c>
      <c r="M405" t="str">
        <f t="shared" si="32"/>
        <v>30</v>
      </c>
      <c r="N405">
        <v>0</v>
      </c>
      <c r="O405" s="3" t="str">
        <f t="shared" si="33"/>
        <v>Not Specified</v>
      </c>
      <c r="P405" t="s">
        <v>81</v>
      </c>
      <c r="Q405" t="str" cm="1">
        <f t="array" ref="Q405">_xlfn.IFS(ISBLANK(P405),"Not Specified",OR(P405="N",P405=FALSE,P405="no",P405=0),"no",TRUE,"yes")</f>
        <v>yes</v>
      </c>
      <c r="R405" s="5">
        <v>0.78</v>
      </c>
      <c r="S405">
        <f t="shared" si="34"/>
        <v>78</v>
      </c>
    </row>
    <row r="406" spans="1:19">
      <c r="A406" t="s">
        <v>899</v>
      </c>
      <c r="B406" t="s">
        <v>900</v>
      </c>
      <c r="C406" t="s">
        <v>99</v>
      </c>
      <c r="D406" t="str" cm="1">
        <f t="array" ref="D406">_xlfn.IFS(OR(LOWER(C406)="f",LOWER(C406)="female"),"Female",TRUE,"Male")</f>
        <v>Male</v>
      </c>
      <c r="F406" t="str">
        <f t="shared" si="30"/>
        <v>Not Specified</v>
      </c>
      <c r="G406" t="s">
        <v>160</v>
      </c>
      <c r="H406" t="s">
        <v>161</v>
      </c>
      <c r="I406" t="s">
        <v>42</v>
      </c>
      <c r="J406">
        <v>10</v>
      </c>
      <c r="K406">
        <f t="shared" si="31"/>
        <v>10</v>
      </c>
      <c r="L406">
        <v>20</v>
      </c>
      <c r="M406" t="str">
        <f t="shared" si="32"/>
        <v>20</v>
      </c>
      <c r="N406">
        <v>1.8</v>
      </c>
      <c r="O406" s="3">
        <f t="shared" si="33"/>
        <v>1.8</v>
      </c>
      <c r="P406" t="s">
        <v>75</v>
      </c>
      <c r="Q406" t="str" cm="1">
        <f t="array" ref="Q406">_xlfn.IFS(ISBLANK(P406),"Not Specified",OR(P406="N",P406=FALSE,P406="no",P406=0),"no",TRUE,"yes")</f>
        <v>yes</v>
      </c>
      <c r="R406">
        <v>85</v>
      </c>
      <c r="S406">
        <f t="shared" si="34"/>
        <v>85</v>
      </c>
    </row>
    <row r="407" spans="1:19">
      <c r="A407" t="s">
        <v>901</v>
      </c>
      <c r="B407" t="s">
        <v>902</v>
      </c>
      <c r="C407" t="s">
        <v>27</v>
      </c>
      <c r="D407" t="str" cm="1">
        <f t="array" ref="D407">_xlfn.IFS(OR(LOWER(C407)="f",LOWER(C407)="female"),"Female",TRUE,"Male")</f>
        <v>Female</v>
      </c>
      <c r="E407">
        <v>51</v>
      </c>
      <c r="F407">
        <f t="shared" si="30"/>
        <v>51</v>
      </c>
      <c r="G407" t="s">
        <v>49</v>
      </c>
      <c r="H407" t="s">
        <v>50</v>
      </c>
      <c r="I407" t="s">
        <v>85</v>
      </c>
      <c r="J407">
        <v>27</v>
      </c>
      <c r="K407">
        <f t="shared" si="31"/>
        <v>27</v>
      </c>
      <c r="L407" t="s">
        <v>71</v>
      </c>
      <c r="M407" t="str">
        <f t="shared" si="32"/>
        <v>50</v>
      </c>
      <c r="N407">
        <v>0</v>
      </c>
      <c r="O407" s="3" t="str">
        <f t="shared" si="33"/>
        <v>Not Specified</v>
      </c>
      <c r="P407" t="s">
        <v>166</v>
      </c>
      <c r="Q407" t="str" cm="1">
        <f t="array" ref="Q407">_xlfn.IFS(ISBLANK(P407),"Not Specified",OR(P407="N",P407=FALSE,P407="no",P407=0),"no",TRUE,"yes")</f>
        <v>no</v>
      </c>
      <c r="R407" s="5">
        <v>0.78</v>
      </c>
      <c r="S407">
        <f t="shared" si="34"/>
        <v>78</v>
      </c>
    </row>
    <row r="408" spans="1:19">
      <c r="A408" t="s">
        <v>903</v>
      </c>
      <c r="B408" t="s">
        <v>904</v>
      </c>
      <c r="C408" t="s">
        <v>34</v>
      </c>
      <c r="D408" t="str" cm="1">
        <f t="array" ref="D408">_xlfn.IFS(OR(LOWER(C408)="f",LOWER(C408)="female"),"Female",TRUE,"Male")</f>
        <v>Male</v>
      </c>
      <c r="E408">
        <v>21</v>
      </c>
      <c r="F408">
        <f t="shared" si="30"/>
        <v>21</v>
      </c>
      <c r="G408" t="s">
        <v>142</v>
      </c>
      <c r="H408" t="s">
        <v>143</v>
      </c>
      <c r="I408" t="s">
        <v>51</v>
      </c>
      <c r="J408">
        <v>2</v>
      </c>
      <c r="K408">
        <f t="shared" si="31"/>
        <v>2</v>
      </c>
      <c r="L408" t="s">
        <v>52</v>
      </c>
      <c r="M408" t="str">
        <f t="shared" si="32"/>
        <v>30</v>
      </c>
      <c r="N408">
        <v>3.8</v>
      </c>
      <c r="O408" s="3">
        <f t="shared" si="33"/>
        <v>3.8</v>
      </c>
      <c r="P408">
        <v>1</v>
      </c>
      <c r="Q408" t="str" cm="1">
        <f t="array" ref="Q408">_xlfn.IFS(ISBLANK(P408),"Not Specified",OR(P408="N",P408=FALSE,P408="no",P408=0),"no",TRUE,"yes")</f>
        <v>yes</v>
      </c>
      <c r="R408" s="5">
        <v>0.98</v>
      </c>
      <c r="S408">
        <f t="shared" si="34"/>
        <v>98</v>
      </c>
    </row>
    <row r="409" spans="1:19">
      <c r="A409" t="s">
        <v>905</v>
      </c>
      <c r="B409" t="s">
        <v>906</v>
      </c>
      <c r="C409" t="s">
        <v>68</v>
      </c>
      <c r="D409" t="str" cm="1">
        <f t="array" ref="D409">_xlfn.IFS(OR(LOWER(C409)="f",LOWER(C409)="female"),"Female",TRUE,"Male")</f>
        <v>Male</v>
      </c>
      <c r="E409">
        <v>51</v>
      </c>
      <c r="F409">
        <f t="shared" si="30"/>
        <v>51</v>
      </c>
      <c r="G409" t="s">
        <v>92</v>
      </c>
      <c r="H409" t="s">
        <v>93</v>
      </c>
      <c r="I409" t="s">
        <v>51</v>
      </c>
      <c r="J409">
        <v>33</v>
      </c>
      <c r="K409">
        <f t="shared" si="31"/>
        <v>33</v>
      </c>
      <c r="L409" t="s">
        <v>62</v>
      </c>
      <c r="M409" t="str">
        <f t="shared" si="32"/>
        <v> 40</v>
      </c>
      <c r="N409">
        <v>0</v>
      </c>
      <c r="O409" s="3" t="str">
        <f t="shared" si="33"/>
        <v>Not Specified</v>
      </c>
      <c r="P409" t="s">
        <v>81</v>
      </c>
      <c r="Q409" t="str" cm="1">
        <f t="array" ref="Q409">_xlfn.IFS(ISBLANK(P409),"Not Specified",OR(P409="N",P409=FALSE,P409="no",P409=0),"no",TRUE,"yes")</f>
        <v>yes</v>
      </c>
      <c r="R409" s="5">
        <v>0.63</v>
      </c>
      <c r="S409">
        <f t="shared" si="34"/>
        <v>63</v>
      </c>
    </row>
    <row r="410" spans="1:19">
      <c r="A410" t="s">
        <v>907</v>
      </c>
      <c r="B410" t="s">
        <v>908</v>
      </c>
      <c r="C410" t="s">
        <v>46</v>
      </c>
      <c r="D410" t="str" cm="1">
        <f t="array" ref="D410">_xlfn.IFS(OR(LOWER(C410)="f",LOWER(C410)="female"),"Female",TRUE,"Male")</f>
        <v>Female</v>
      </c>
      <c r="E410">
        <v>37</v>
      </c>
      <c r="F410">
        <f t="shared" si="30"/>
        <v>37</v>
      </c>
      <c r="G410" t="s">
        <v>56</v>
      </c>
      <c r="H410" t="s">
        <v>57</v>
      </c>
      <c r="I410" t="s">
        <v>37</v>
      </c>
      <c r="J410">
        <v>11</v>
      </c>
      <c r="K410">
        <f t="shared" si="31"/>
        <v>11</v>
      </c>
      <c r="L410" t="s">
        <v>62</v>
      </c>
      <c r="M410" t="str">
        <f t="shared" si="32"/>
        <v> 40</v>
      </c>
      <c r="N410">
        <v>3.6</v>
      </c>
      <c r="O410" s="3">
        <f t="shared" si="33"/>
        <v>3.6</v>
      </c>
      <c r="P410" t="s">
        <v>38</v>
      </c>
      <c r="Q410" t="str" cm="1">
        <f t="array" ref="Q410">_xlfn.IFS(ISBLANK(P410),"Not Specified",OR(P410="N",P410=FALSE,P410="no",P410=0),"no",TRUE,"yes")</f>
        <v>no</v>
      </c>
      <c r="R410" s="5">
        <v>0.73</v>
      </c>
      <c r="S410">
        <f t="shared" si="34"/>
        <v>73</v>
      </c>
    </row>
    <row r="411" spans="1:19">
      <c r="A411" t="s">
        <v>909</v>
      </c>
      <c r="B411" t="s">
        <v>910</v>
      </c>
      <c r="C411" t="s">
        <v>21</v>
      </c>
      <c r="D411" t="str" cm="1">
        <f t="array" ref="D411">_xlfn.IFS(OR(LOWER(C411)="f",LOWER(C411)="female"),"Female",TRUE,"Male")</f>
        <v>Female</v>
      </c>
      <c r="E411">
        <v>20</v>
      </c>
      <c r="F411">
        <f t="shared" si="30"/>
        <v>20</v>
      </c>
      <c r="G411" t="s">
        <v>197</v>
      </c>
      <c r="H411" t="s">
        <v>79</v>
      </c>
      <c r="I411" t="s">
        <v>37</v>
      </c>
      <c r="J411">
        <v>2</v>
      </c>
      <c r="K411">
        <f t="shared" si="31"/>
        <v>2</v>
      </c>
      <c r="L411">
        <v>30</v>
      </c>
      <c r="M411" t="str">
        <f t="shared" si="32"/>
        <v>30</v>
      </c>
      <c r="N411">
        <v>0</v>
      </c>
      <c r="O411" s="3" t="str">
        <f t="shared" si="33"/>
        <v>Not Specified</v>
      </c>
      <c r="P411">
        <v>0</v>
      </c>
      <c r="Q411" t="str" cm="1">
        <f t="array" ref="Q411">_xlfn.IFS(ISBLANK(P411),"Not Specified",OR(P411="N",P411=FALSE,P411="no",P411=0),"no",TRUE,"yes")</f>
        <v>no</v>
      </c>
      <c r="R411" s="5">
        <v>0.94</v>
      </c>
      <c r="S411">
        <f t="shared" si="34"/>
        <v>94</v>
      </c>
    </row>
    <row r="412" spans="1:19">
      <c r="A412" t="s">
        <v>911</v>
      </c>
      <c r="B412" t="s">
        <v>912</v>
      </c>
      <c r="C412" t="s">
        <v>84</v>
      </c>
      <c r="D412" t="str" cm="1">
        <f t="array" ref="D412">_xlfn.IFS(OR(LOWER(C412)="f",LOWER(C412)="female"),"Female",TRUE,"Male")</f>
        <v>Female</v>
      </c>
      <c r="E412">
        <v>50</v>
      </c>
      <c r="F412">
        <f t="shared" si="30"/>
        <v>50</v>
      </c>
      <c r="G412" t="s">
        <v>28</v>
      </c>
      <c r="H412" t="s">
        <v>29</v>
      </c>
      <c r="I412" t="s">
        <v>42</v>
      </c>
      <c r="J412">
        <v>31</v>
      </c>
      <c r="K412">
        <f t="shared" si="31"/>
        <v>31</v>
      </c>
      <c r="L412" t="s">
        <v>71</v>
      </c>
      <c r="M412" t="str">
        <f t="shared" si="32"/>
        <v>50</v>
      </c>
      <c r="N412">
        <v>4.1</v>
      </c>
      <c r="O412" s="3">
        <f t="shared" si="33"/>
        <v>4.1</v>
      </c>
      <c r="Q412" t="str" cm="1">
        <f t="array" ref="Q412">_xlfn.IFS(ISBLANK(P412),"Not Specified",OR(P412="N",P412=FALSE,P412="no",P412=0),"no",TRUE,"yes")</f>
        <v>Not Specified</v>
      </c>
      <c r="R412" s="5">
        <v>0.81</v>
      </c>
      <c r="S412">
        <f t="shared" si="34"/>
        <v>81</v>
      </c>
    </row>
    <row r="413" spans="1:19">
      <c r="A413" t="s">
        <v>913</v>
      </c>
      <c r="B413" t="s">
        <v>914</v>
      </c>
      <c r="C413" t="s">
        <v>27</v>
      </c>
      <c r="D413" t="str" cm="1">
        <f t="array" ref="D413">_xlfn.IFS(OR(LOWER(C413)="f",LOWER(C413)="female"),"Female",TRUE,"Male")</f>
        <v>Female</v>
      </c>
      <c r="E413">
        <v>58</v>
      </c>
      <c r="F413">
        <f t="shared" si="30"/>
        <v>58</v>
      </c>
      <c r="G413" t="s">
        <v>69</v>
      </c>
      <c r="H413" t="s">
        <v>70</v>
      </c>
      <c r="I413" t="s">
        <v>37</v>
      </c>
      <c r="J413">
        <v>17</v>
      </c>
      <c r="K413">
        <f t="shared" si="31"/>
        <v>17</v>
      </c>
      <c r="L413" t="s">
        <v>71</v>
      </c>
      <c r="M413" t="str">
        <f t="shared" si="32"/>
        <v>50</v>
      </c>
      <c r="N413">
        <v>2.6</v>
      </c>
      <c r="O413" s="3">
        <f t="shared" si="33"/>
        <v>2.6</v>
      </c>
      <c r="P413">
        <v>1</v>
      </c>
      <c r="Q413" t="str" cm="1">
        <f t="array" ref="Q413">_xlfn.IFS(ISBLANK(P413),"Not Specified",OR(P413="N",P413=FALSE,P413="no",P413=0),"no",TRUE,"yes")</f>
        <v>yes</v>
      </c>
      <c r="R413" s="5">
        <v>0.61</v>
      </c>
      <c r="S413">
        <f t="shared" si="34"/>
        <v>61</v>
      </c>
    </row>
    <row r="414" spans="1:19">
      <c r="A414" t="s">
        <v>915</v>
      </c>
      <c r="B414" t="s">
        <v>916</v>
      </c>
      <c r="C414" t="s">
        <v>27</v>
      </c>
      <c r="D414" t="str" cm="1">
        <f t="array" ref="D414">_xlfn.IFS(OR(LOWER(C414)="f",LOWER(C414)="female"),"Female",TRUE,"Male")</f>
        <v>Female</v>
      </c>
      <c r="E414">
        <v>40</v>
      </c>
      <c r="F414">
        <f t="shared" si="30"/>
        <v>40</v>
      </c>
      <c r="G414" t="s">
        <v>114</v>
      </c>
      <c r="H414" t="s">
        <v>115</v>
      </c>
      <c r="I414" t="s">
        <v>80</v>
      </c>
      <c r="J414">
        <v>2</v>
      </c>
      <c r="K414">
        <f t="shared" si="31"/>
        <v>2</v>
      </c>
      <c r="L414" t="s">
        <v>236</v>
      </c>
      <c r="M414" t="str">
        <f t="shared" si="32"/>
        <v>100</v>
      </c>
      <c r="N414">
        <v>0</v>
      </c>
      <c r="O414" s="3" t="str">
        <f t="shared" si="33"/>
        <v>Not Specified</v>
      </c>
      <c r="P414">
        <v>0</v>
      </c>
      <c r="Q414" t="str" cm="1">
        <f t="array" ref="Q414">_xlfn.IFS(ISBLANK(P414),"Not Specified",OR(P414="N",P414=FALSE,P414="no",P414=0),"no",TRUE,"yes")</f>
        <v>no</v>
      </c>
      <c r="S414" t="str">
        <f t="shared" si="34"/>
        <v>Not Specified</v>
      </c>
    </row>
    <row r="415" spans="1:19">
      <c r="A415" t="s">
        <v>917</v>
      </c>
      <c r="B415" t="s">
        <v>918</v>
      </c>
      <c r="C415" t="s">
        <v>41</v>
      </c>
      <c r="D415" t="str" cm="1">
        <f t="array" ref="D415">_xlfn.IFS(OR(LOWER(C415)="f",LOWER(C415)="female"),"Female",TRUE,"Male")</f>
        <v>Female</v>
      </c>
      <c r="E415">
        <v>26</v>
      </c>
      <c r="F415">
        <f t="shared" si="30"/>
        <v>26</v>
      </c>
      <c r="G415" t="s">
        <v>146</v>
      </c>
      <c r="H415" t="s">
        <v>147</v>
      </c>
      <c r="I415" t="s">
        <v>42</v>
      </c>
      <c r="J415">
        <v>2</v>
      </c>
      <c r="K415">
        <f t="shared" si="31"/>
        <v>2</v>
      </c>
      <c r="L415">
        <v>20</v>
      </c>
      <c r="M415" t="str">
        <f t="shared" si="32"/>
        <v>20</v>
      </c>
      <c r="N415">
        <v>1.3</v>
      </c>
      <c r="O415" s="3">
        <f t="shared" si="33"/>
        <v>1.3</v>
      </c>
      <c r="P415" t="s">
        <v>166</v>
      </c>
      <c r="Q415" t="str" cm="1">
        <f t="array" ref="Q415">_xlfn.IFS(ISBLANK(P415),"Not Specified",OR(P415="N",P415=FALSE,P415="no",P415=0),"no",TRUE,"yes")</f>
        <v>no</v>
      </c>
      <c r="R415" s="5">
        <v>0.83</v>
      </c>
      <c r="S415">
        <f t="shared" si="34"/>
        <v>83</v>
      </c>
    </row>
    <row r="416" spans="1:19">
      <c r="A416" t="s">
        <v>919</v>
      </c>
      <c r="B416" t="s">
        <v>920</v>
      </c>
      <c r="C416" t="s">
        <v>27</v>
      </c>
      <c r="D416" t="str" cm="1">
        <f t="array" ref="D416">_xlfn.IFS(OR(LOWER(C416)="f",LOWER(C416)="female"),"Female",TRUE,"Male")</f>
        <v>Female</v>
      </c>
      <c r="E416">
        <v>44</v>
      </c>
      <c r="F416">
        <f t="shared" si="30"/>
        <v>44</v>
      </c>
      <c r="G416" t="s">
        <v>119</v>
      </c>
      <c r="H416" t="s">
        <v>120</v>
      </c>
      <c r="I416" t="s">
        <v>85</v>
      </c>
      <c r="J416">
        <v>22</v>
      </c>
      <c r="K416">
        <f t="shared" si="31"/>
        <v>22</v>
      </c>
      <c r="L416">
        <v>30</v>
      </c>
      <c r="M416" t="str">
        <f t="shared" si="32"/>
        <v>30</v>
      </c>
      <c r="N416">
        <v>4.1</v>
      </c>
      <c r="O416" s="3">
        <f t="shared" si="33"/>
        <v>4.1</v>
      </c>
      <c r="P416" t="s">
        <v>81</v>
      </c>
      <c r="Q416" t="str" cm="1">
        <f t="array" ref="Q416">_xlfn.IFS(ISBLANK(P416),"Not Specified",OR(P416="N",P416=FALSE,P416="no",P416=0),"no",TRUE,"yes")</f>
        <v>yes</v>
      </c>
      <c r="S416" t="str">
        <f t="shared" si="34"/>
        <v>Not Specified</v>
      </c>
    </row>
    <row r="417" spans="1:19">
      <c r="A417" t="s">
        <v>921</v>
      </c>
      <c r="B417" t="s">
        <v>922</v>
      </c>
      <c r="C417" t="s">
        <v>34</v>
      </c>
      <c r="D417" t="str" cm="1">
        <f t="array" ref="D417">_xlfn.IFS(OR(LOWER(C417)="f",LOWER(C417)="female"),"Female",TRUE,"Male")</f>
        <v>Male</v>
      </c>
      <c r="E417">
        <v>42</v>
      </c>
      <c r="F417">
        <f t="shared" si="30"/>
        <v>42</v>
      </c>
      <c r="G417" t="s">
        <v>186</v>
      </c>
      <c r="H417" t="s">
        <v>79</v>
      </c>
      <c r="I417" t="s">
        <v>121</v>
      </c>
      <c r="J417">
        <v>8</v>
      </c>
      <c r="K417">
        <f t="shared" si="31"/>
        <v>8</v>
      </c>
      <c r="L417" t="s">
        <v>71</v>
      </c>
      <c r="M417" t="str">
        <f t="shared" si="32"/>
        <v>50</v>
      </c>
      <c r="N417">
        <v>2.4</v>
      </c>
      <c r="O417" s="3">
        <f t="shared" si="33"/>
        <v>2.4</v>
      </c>
      <c r="P417" t="s">
        <v>166</v>
      </c>
      <c r="Q417" t="str" cm="1">
        <f t="array" ref="Q417">_xlfn.IFS(ISBLANK(P417),"Not Specified",OR(P417="N",P417=FALSE,P417="no",P417=0),"no",TRUE,"yes")</f>
        <v>no</v>
      </c>
      <c r="R417" s="5">
        <v>0.68</v>
      </c>
      <c r="S417">
        <f t="shared" si="34"/>
        <v>68</v>
      </c>
    </row>
    <row r="418" spans="1:19">
      <c r="A418" t="s">
        <v>923</v>
      </c>
      <c r="B418" t="s">
        <v>343</v>
      </c>
      <c r="C418" t="s">
        <v>99</v>
      </c>
      <c r="D418" t="str" cm="1">
        <f t="array" ref="D418">_xlfn.IFS(OR(LOWER(C418)="f",LOWER(C418)="female"),"Female",TRUE,"Male")</f>
        <v>Male</v>
      </c>
      <c r="E418">
        <v>38</v>
      </c>
      <c r="F418">
        <f t="shared" si="30"/>
        <v>38</v>
      </c>
      <c r="G418" t="s">
        <v>186</v>
      </c>
      <c r="H418" t="s">
        <v>79</v>
      </c>
      <c r="I418" t="s">
        <v>58</v>
      </c>
      <c r="J418">
        <v>9</v>
      </c>
      <c r="K418">
        <f t="shared" si="31"/>
        <v>9</v>
      </c>
      <c r="L418" t="s">
        <v>71</v>
      </c>
      <c r="M418" t="str">
        <f t="shared" si="32"/>
        <v>50</v>
      </c>
      <c r="N418">
        <v>0</v>
      </c>
      <c r="O418" s="3" t="str">
        <f t="shared" si="33"/>
        <v>Not Specified</v>
      </c>
      <c r="P418">
        <v>0</v>
      </c>
      <c r="Q418" t="str" cm="1">
        <f t="array" ref="Q418">_xlfn.IFS(ISBLANK(P418),"Not Specified",OR(P418="N",P418=FALSE,P418="no",P418=0),"no",TRUE,"yes")</f>
        <v>no</v>
      </c>
      <c r="R418" s="5">
        <v>0.74</v>
      </c>
      <c r="S418">
        <f t="shared" si="34"/>
        <v>74</v>
      </c>
    </row>
    <row r="419" spans="1:19">
      <c r="A419" t="s">
        <v>924</v>
      </c>
      <c r="B419" t="s">
        <v>925</v>
      </c>
      <c r="C419" t="s">
        <v>34</v>
      </c>
      <c r="D419" t="str" cm="1">
        <f t="array" ref="D419">_xlfn.IFS(OR(LOWER(C419)="f",LOWER(C419)="female"),"Female",TRUE,"Male")</f>
        <v>Male</v>
      </c>
      <c r="E419">
        <v>51</v>
      </c>
      <c r="F419">
        <f t="shared" si="30"/>
        <v>51</v>
      </c>
      <c r="G419" t="s">
        <v>146</v>
      </c>
      <c r="H419" t="s">
        <v>147</v>
      </c>
      <c r="I419" t="s">
        <v>42</v>
      </c>
      <c r="J419">
        <v>32</v>
      </c>
      <c r="K419">
        <f t="shared" si="31"/>
        <v>32</v>
      </c>
      <c r="L419">
        <v>100</v>
      </c>
      <c r="M419" t="str">
        <f t="shared" si="32"/>
        <v>100</v>
      </c>
      <c r="N419">
        <v>4.4</v>
      </c>
      <c r="O419" s="3">
        <f t="shared" si="33"/>
        <v>4.4</v>
      </c>
      <c r="P419" t="b">
        <v>0</v>
      </c>
      <c r="Q419" t="str" cm="1">
        <f t="array" ref="Q419">_xlfn.IFS(ISBLANK(P419),"Not Specified",OR(P419="N",P419=FALSE,P419="no",P419=0),"no",TRUE,"yes")</f>
        <v>no</v>
      </c>
      <c r="R419">
        <v>91</v>
      </c>
      <c r="S419">
        <f t="shared" si="34"/>
        <v>91</v>
      </c>
    </row>
    <row r="420" spans="1:19">
      <c r="A420" t="s">
        <v>926</v>
      </c>
      <c r="B420" t="s">
        <v>927</v>
      </c>
      <c r="C420" t="s">
        <v>46</v>
      </c>
      <c r="D420" t="str" cm="1">
        <f t="array" ref="D420">_xlfn.IFS(OR(LOWER(C420)="f",LOWER(C420)="female"),"Female",TRUE,"Male")</f>
        <v>Female</v>
      </c>
      <c r="E420">
        <v>36</v>
      </c>
      <c r="F420">
        <f t="shared" si="30"/>
        <v>36</v>
      </c>
      <c r="G420" t="s">
        <v>142</v>
      </c>
      <c r="H420" t="s">
        <v>143</v>
      </c>
      <c r="I420" t="s">
        <v>51</v>
      </c>
      <c r="J420">
        <v>8</v>
      </c>
      <c r="K420">
        <f t="shared" si="31"/>
        <v>8</v>
      </c>
      <c r="L420" t="s">
        <v>31</v>
      </c>
      <c r="M420" t="str">
        <f t="shared" si="32"/>
        <v> 100</v>
      </c>
      <c r="N420">
        <v>2.2</v>
      </c>
      <c r="O420" s="3">
        <f t="shared" si="33"/>
        <v>2.2</v>
      </c>
      <c r="P420">
        <v>1</v>
      </c>
      <c r="Q420" t="str" cm="1">
        <f t="array" ref="Q420">_xlfn.IFS(ISBLANK(P420),"Not Specified",OR(P420="N",P420=FALSE,P420="no",P420=0),"no",TRUE,"yes")</f>
        <v>yes</v>
      </c>
      <c r="R420" s="5">
        <v>0.97</v>
      </c>
      <c r="S420">
        <f t="shared" si="34"/>
        <v>97</v>
      </c>
    </row>
    <row r="421" spans="1:19">
      <c r="A421" t="s">
        <v>928</v>
      </c>
      <c r="B421" t="s">
        <v>929</v>
      </c>
      <c r="C421" t="s">
        <v>27</v>
      </c>
      <c r="D421" t="str" cm="1">
        <f t="array" ref="D421">_xlfn.IFS(OR(LOWER(C421)="f",LOWER(C421)="female"),"Female",TRUE,"Male")</f>
        <v>Female</v>
      </c>
      <c r="E421">
        <v>37</v>
      </c>
      <c r="F421">
        <f t="shared" si="30"/>
        <v>37</v>
      </c>
      <c r="G421" t="s">
        <v>28</v>
      </c>
      <c r="H421" t="s">
        <v>29</v>
      </c>
      <c r="I421" t="s">
        <v>30</v>
      </c>
      <c r="J421">
        <v>10</v>
      </c>
      <c r="K421">
        <f t="shared" si="31"/>
        <v>10</v>
      </c>
      <c r="L421">
        <v>30</v>
      </c>
      <c r="M421" t="str">
        <f t="shared" si="32"/>
        <v>30</v>
      </c>
      <c r="N421">
        <v>0</v>
      </c>
      <c r="O421" s="3" t="str">
        <f t="shared" si="33"/>
        <v>Not Specified</v>
      </c>
      <c r="P421">
        <v>0</v>
      </c>
      <c r="Q421" t="str" cm="1">
        <f t="array" ref="Q421">_xlfn.IFS(ISBLANK(P421),"Not Specified",OR(P421="N",P421=FALSE,P421="no",P421=0),"no",TRUE,"yes")</f>
        <v>no</v>
      </c>
      <c r="R421" s="5">
        <v>0.96</v>
      </c>
      <c r="S421">
        <f t="shared" si="34"/>
        <v>96</v>
      </c>
    </row>
    <row r="422" spans="1:19">
      <c r="A422" t="s">
        <v>930</v>
      </c>
      <c r="B422" t="s">
        <v>931</v>
      </c>
      <c r="C422" t="s">
        <v>34</v>
      </c>
      <c r="D422" t="str" cm="1">
        <f t="array" ref="D422">_xlfn.IFS(OR(LOWER(C422)="f",LOWER(C422)="female"),"Female",TRUE,"Male")</f>
        <v>Male</v>
      </c>
      <c r="E422">
        <v>31</v>
      </c>
      <c r="F422">
        <f t="shared" si="30"/>
        <v>31</v>
      </c>
      <c r="G422" t="s">
        <v>160</v>
      </c>
      <c r="H422" t="s">
        <v>161</v>
      </c>
      <c r="I422" t="s">
        <v>96</v>
      </c>
      <c r="J422">
        <v>0</v>
      </c>
      <c r="K422">
        <f t="shared" si="31"/>
        <v>0</v>
      </c>
      <c r="L422">
        <v>50</v>
      </c>
      <c r="M422" t="str">
        <f t="shared" si="32"/>
        <v>50</v>
      </c>
      <c r="N422">
        <v>1.1</v>
      </c>
      <c r="O422" s="3">
        <f t="shared" si="33"/>
        <v>1.1</v>
      </c>
      <c r="P422" t="s">
        <v>81</v>
      </c>
      <c r="Q422" t="str" cm="1">
        <f t="array" ref="Q422">_xlfn.IFS(ISBLANK(P422),"Not Specified",OR(P422="N",P422=FALSE,P422="no",P422=0),"no",TRUE,"yes")</f>
        <v>yes</v>
      </c>
      <c r="R422" s="5">
        <v>0.73</v>
      </c>
      <c r="S422">
        <f t="shared" si="34"/>
        <v>73</v>
      </c>
    </row>
    <row r="423" spans="1:19">
      <c r="A423" t="s">
        <v>932</v>
      </c>
      <c r="B423" t="s">
        <v>933</v>
      </c>
      <c r="C423" t="s">
        <v>21</v>
      </c>
      <c r="D423" t="str" cm="1">
        <f t="array" ref="D423">_xlfn.IFS(OR(LOWER(C423)="f",LOWER(C423)="female"),"Female",TRUE,"Male")</f>
        <v>Female</v>
      </c>
      <c r="E423">
        <v>47</v>
      </c>
      <c r="F423">
        <f t="shared" si="30"/>
        <v>47</v>
      </c>
      <c r="G423" t="s">
        <v>100</v>
      </c>
      <c r="H423" t="s">
        <v>101</v>
      </c>
      <c r="I423" t="s">
        <v>85</v>
      </c>
      <c r="J423">
        <v>22</v>
      </c>
      <c r="K423">
        <f t="shared" si="31"/>
        <v>22</v>
      </c>
      <c r="M423" t="str">
        <f t="shared" si="32"/>
        <v>Not Specified</v>
      </c>
      <c r="N423">
        <v>1.4</v>
      </c>
      <c r="O423" s="3">
        <f t="shared" si="33"/>
        <v>1.4</v>
      </c>
      <c r="P423" t="s">
        <v>75</v>
      </c>
      <c r="Q423" t="str" cm="1">
        <f t="array" ref="Q423">_xlfn.IFS(ISBLANK(P423),"Not Specified",OR(P423="N",P423=FALSE,P423="no",P423=0),"no",TRUE,"yes")</f>
        <v>yes</v>
      </c>
      <c r="R423" s="5">
        <v>0.72</v>
      </c>
      <c r="S423">
        <f t="shared" si="34"/>
        <v>72</v>
      </c>
    </row>
    <row r="424" spans="1:19">
      <c r="A424" t="s">
        <v>934</v>
      </c>
      <c r="B424" t="s">
        <v>935</v>
      </c>
      <c r="C424" t="s">
        <v>46</v>
      </c>
      <c r="D424" t="str" cm="1">
        <f t="array" ref="D424">_xlfn.IFS(OR(LOWER(C424)="f",LOWER(C424)="female"),"Female",TRUE,"Male")</f>
        <v>Female</v>
      </c>
      <c r="E424">
        <v>60</v>
      </c>
      <c r="F424">
        <f t="shared" si="30"/>
        <v>60</v>
      </c>
      <c r="G424" t="s">
        <v>186</v>
      </c>
      <c r="H424" t="s">
        <v>79</v>
      </c>
      <c r="I424" t="s">
        <v>80</v>
      </c>
      <c r="J424">
        <v>34</v>
      </c>
      <c r="K424">
        <f t="shared" si="31"/>
        <v>34</v>
      </c>
      <c r="L424" t="s">
        <v>236</v>
      </c>
      <c r="M424" t="str">
        <f t="shared" si="32"/>
        <v>100</v>
      </c>
      <c r="N424">
        <v>0</v>
      </c>
      <c r="O424" s="3" t="str">
        <f t="shared" si="33"/>
        <v>Not Specified</v>
      </c>
      <c r="P424" t="b">
        <v>1</v>
      </c>
      <c r="Q424" t="str" cm="1">
        <f t="array" ref="Q424">_xlfn.IFS(ISBLANK(P424),"Not Specified",OR(P424="N",P424=FALSE,P424="no",P424=0),"no",TRUE,"yes")</f>
        <v>yes</v>
      </c>
      <c r="R424" s="5">
        <v>0.74</v>
      </c>
      <c r="S424">
        <f t="shared" si="34"/>
        <v>74</v>
      </c>
    </row>
    <row r="425" spans="1:19">
      <c r="A425" t="s">
        <v>936</v>
      </c>
      <c r="B425" t="s">
        <v>937</v>
      </c>
      <c r="C425" t="s">
        <v>27</v>
      </c>
      <c r="D425" t="str" cm="1">
        <f t="array" ref="D425">_xlfn.IFS(OR(LOWER(C425)="f",LOWER(C425)="female"),"Female",TRUE,"Male")</f>
        <v>Female</v>
      </c>
      <c r="E425">
        <v>48</v>
      </c>
      <c r="F425">
        <f t="shared" si="30"/>
        <v>48</v>
      </c>
      <c r="G425" t="s">
        <v>78</v>
      </c>
      <c r="H425" t="s">
        <v>79</v>
      </c>
      <c r="I425" t="s">
        <v>30</v>
      </c>
      <c r="J425">
        <v>5</v>
      </c>
      <c r="K425">
        <f t="shared" si="31"/>
        <v>5</v>
      </c>
      <c r="L425">
        <v>30</v>
      </c>
      <c r="M425" t="str">
        <f t="shared" si="32"/>
        <v>30</v>
      </c>
      <c r="N425">
        <v>1.5</v>
      </c>
      <c r="O425" s="3">
        <f t="shared" si="33"/>
        <v>1.5</v>
      </c>
      <c r="P425" t="s">
        <v>38</v>
      </c>
      <c r="Q425" t="str" cm="1">
        <f t="array" ref="Q425">_xlfn.IFS(ISBLANK(P425),"Not Specified",OR(P425="N",P425=FALSE,P425="no",P425=0),"no",TRUE,"yes")</f>
        <v>no</v>
      </c>
      <c r="S425" t="str">
        <f t="shared" si="34"/>
        <v>Not Specified</v>
      </c>
    </row>
    <row r="426" spans="1:19">
      <c r="A426" t="s">
        <v>938</v>
      </c>
      <c r="B426" t="s">
        <v>939</v>
      </c>
      <c r="C426" t="s">
        <v>41</v>
      </c>
      <c r="D426" t="str" cm="1">
        <f t="array" ref="D426">_xlfn.IFS(OR(LOWER(C426)="f",LOWER(C426)="female"),"Female",TRUE,"Male")</f>
        <v>Female</v>
      </c>
      <c r="E426">
        <v>24</v>
      </c>
      <c r="F426">
        <f t="shared" si="30"/>
        <v>24</v>
      </c>
      <c r="G426" t="s">
        <v>100</v>
      </c>
      <c r="H426" t="s">
        <v>101</v>
      </c>
      <c r="I426" t="s">
        <v>51</v>
      </c>
      <c r="J426">
        <v>3</v>
      </c>
      <c r="K426">
        <f t="shared" si="31"/>
        <v>3</v>
      </c>
      <c r="L426">
        <v>20</v>
      </c>
      <c r="M426" t="str">
        <f t="shared" si="32"/>
        <v>20</v>
      </c>
      <c r="N426">
        <v>0</v>
      </c>
      <c r="O426" s="3" t="str">
        <f t="shared" si="33"/>
        <v>Not Specified</v>
      </c>
      <c r="P426">
        <v>1</v>
      </c>
      <c r="Q426" t="str" cm="1">
        <f t="array" ref="Q426">_xlfn.IFS(ISBLANK(P426),"Not Specified",OR(P426="N",P426=FALSE,P426="no",P426=0),"no",TRUE,"yes")</f>
        <v>yes</v>
      </c>
      <c r="S426" t="str">
        <f t="shared" si="34"/>
        <v>Not Specified</v>
      </c>
    </row>
    <row r="427" spans="1:19">
      <c r="A427" t="s">
        <v>940</v>
      </c>
      <c r="B427" t="s">
        <v>941</v>
      </c>
      <c r="C427" t="s">
        <v>27</v>
      </c>
      <c r="D427" t="str" cm="1">
        <f t="array" ref="D427">_xlfn.IFS(OR(LOWER(C427)="f",LOWER(C427)="female"),"Female",TRUE,"Male")</f>
        <v>Female</v>
      </c>
      <c r="E427">
        <v>35</v>
      </c>
      <c r="F427">
        <f t="shared" si="30"/>
        <v>35</v>
      </c>
      <c r="G427" t="s">
        <v>49</v>
      </c>
      <c r="H427" t="s">
        <v>50</v>
      </c>
      <c r="I427" t="s">
        <v>121</v>
      </c>
      <c r="J427">
        <v>10</v>
      </c>
      <c r="K427">
        <f t="shared" si="31"/>
        <v>10</v>
      </c>
      <c r="L427">
        <v>75</v>
      </c>
      <c r="M427" t="str">
        <f t="shared" si="32"/>
        <v>75</v>
      </c>
      <c r="N427">
        <v>0</v>
      </c>
      <c r="O427" s="3" t="str">
        <f t="shared" si="33"/>
        <v>Not Specified</v>
      </c>
      <c r="Q427" t="str" cm="1">
        <f t="array" ref="Q427">_xlfn.IFS(ISBLANK(P427),"Not Specified",OR(P427="N",P427=FALSE,P427="no",P427=0),"no",TRUE,"yes")</f>
        <v>Not Specified</v>
      </c>
      <c r="R427" s="5">
        <v>0.74</v>
      </c>
      <c r="S427">
        <f t="shared" si="34"/>
        <v>74</v>
      </c>
    </row>
    <row r="428" spans="1:19">
      <c r="A428" t="s">
        <v>942</v>
      </c>
      <c r="B428" t="s">
        <v>943</v>
      </c>
      <c r="C428" t="s">
        <v>68</v>
      </c>
      <c r="D428" t="str" cm="1">
        <f t="array" ref="D428">_xlfn.IFS(OR(LOWER(C428)="f",LOWER(C428)="female"),"Female",TRUE,"Male")</f>
        <v>Male</v>
      </c>
      <c r="E428">
        <v>35</v>
      </c>
      <c r="F428">
        <f t="shared" si="30"/>
        <v>35</v>
      </c>
      <c r="G428" t="s">
        <v>65</v>
      </c>
      <c r="H428" t="s">
        <v>29</v>
      </c>
      <c r="I428" t="s">
        <v>96</v>
      </c>
      <c r="K428" t="str">
        <f t="shared" si="31"/>
        <v>Not Specified</v>
      </c>
      <c r="L428">
        <v>100</v>
      </c>
      <c r="M428" t="str">
        <f t="shared" si="32"/>
        <v>100</v>
      </c>
      <c r="N428">
        <v>3.5</v>
      </c>
      <c r="O428" s="3">
        <f t="shared" si="33"/>
        <v>3.5</v>
      </c>
      <c r="P428" t="s">
        <v>81</v>
      </c>
      <c r="Q428" t="str" cm="1">
        <f t="array" ref="Q428">_xlfn.IFS(ISBLANK(P428),"Not Specified",OR(P428="N",P428=FALSE,P428="no",P428=0),"no",TRUE,"yes")</f>
        <v>yes</v>
      </c>
      <c r="R428" s="5">
        <v>0.71</v>
      </c>
      <c r="S428">
        <f t="shared" si="34"/>
        <v>71</v>
      </c>
    </row>
    <row r="429" spans="1:19">
      <c r="A429" t="s">
        <v>944</v>
      </c>
      <c r="B429" t="s">
        <v>945</v>
      </c>
      <c r="C429" t="s">
        <v>84</v>
      </c>
      <c r="D429" t="str" cm="1">
        <f t="array" ref="D429">_xlfn.IFS(OR(LOWER(C429)="f",LOWER(C429)="female"),"Female",TRUE,"Male")</f>
        <v>Female</v>
      </c>
      <c r="E429">
        <v>29</v>
      </c>
      <c r="F429">
        <f t="shared" si="30"/>
        <v>29</v>
      </c>
      <c r="G429" t="s">
        <v>49</v>
      </c>
      <c r="H429" t="s">
        <v>50</v>
      </c>
      <c r="I429" t="s">
        <v>80</v>
      </c>
      <c r="J429">
        <v>6</v>
      </c>
      <c r="K429">
        <f t="shared" si="31"/>
        <v>6</v>
      </c>
      <c r="M429" t="str">
        <f t="shared" si="32"/>
        <v>Not Specified</v>
      </c>
      <c r="N429">
        <v>4.8</v>
      </c>
      <c r="O429" s="3">
        <f t="shared" si="33"/>
        <v>4.8</v>
      </c>
      <c r="P429" t="s">
        <v>38</v>
      </c>
      <c r="Q429" t="str" cm="1">
        <f t="array" ref="Q429">_xlfn.IFS(ISBLANK(P429),"Not Specified",OR(P429="N",P429=FALSE,P429="no",P429=0),"no",TRUE,"yes")</f>
        <v>no</v>
      </c>
      <c r="R429" s="5">
        <v>0.83</v>
      </c>
      <c r="S429">
        <f t="shared" si="34"/>
        <v>83</v>
      </c>
    </row>
    <row r="430" spans="1:19">
      <c r="A430" t="s">
        <v>946</v>
      </c>
      <c r="B430" t="s">
        <v>947</v>
      </c>
      <c r="C430" t="s">
        <v>84</v>
      </c>
      <c r="D430" t="str" cm="1">
        <f t="array" ref="D430">_xlfn.IFS(OR(LOWER(C430)="f",LOWER(C430)="female"),"Female",TRUE,"Male")</f>
        <v>Female</v>
      </c>
      <c r="E430">
        <v>36</v>
      </c>
      <c r="F430">
        <f t="shared" si="30"/>
        <v>36</v>
      </c>
      <c r="G430" t="s">
        <v>22</v>
      </c>
      <c r="H430" t="s">
        <v>23</v>
      </c>
      <c r="I430" t="s">
        <v>121</v>
      </c>
      <c r="J430">
        <v>1</v>
      </c>
      <c r="K430">
        <f t="shared" si="31"/>
        <v>1</v>
      </c>
      <c r="L430" t="s">
        <v>177</v>
      </c>
      <c r="M430" t="str">
        <f t="shared" si="32"/>
        <v>75</v>
      </c>
      <c r="O430" s="3" t="str">
        <f t="shared" si="33"/>
        <v>Not Specified</v>
      </c>
      <c r="Q430" t="str" cm="1">
        <f t="array" ref="Q430">_xlfn.IFS(ISBLANK(P430),"Not Specified",OR(P430="N",P430=FALSE,P430="no",P430=0),"no",TRUE,"yes")</f>
        <v>Not Specified</v>
      </c>
      <c r="R430" s="5">
        <v>0.63</v>
      </c>
      <c r="S430">
        <f t="shared" si="34"/>
        <v>63</v>
      </c>
    </row>
    <row r="431" spans="1:19">
      <c r="A431" t="s">
        <v>948</v>
      </c>
      <c r="B431" t="s">
        <v>949</v>
      </c>
      <c r="C431" t="s">
        <v>27</v>
      </c>
      <c r="D431" t="str" cm="1">
        <f t="array" ref="D431">_xlfn.IFS(OR(LOWER(C431)="f",LOWER(C431)="female"),"Female",TRUE,"Male")</f>
        <v>Female</v>
      </c>
      <c r="E431">
        <v>44</v>
      </c>
      <c r="F431">
        <f t="shared" si="30"/>
        <v>44</v>
      </c>
      <c r="G431" t="s">
        <v>135</v>
      </c>
      <c r="H431" t="s">
        <v>29</v>
      </c>
      <c r="I431" t="s">
        <v>51</v>
      </c>
      <c r="J431">
        <v>0</v>
      </c>
      <c r="K431">
        <f t="shared" si="31"/>
        <v>0</v>
      </c>
      <c r="M431" t="str">
        <f t="shared" si="32"/>
        <v>Not Specified</v>
      </c>
      <c r="N431">
        <v>4.8</v>
      </c>
      <c r="O431" s="3">
        <f t="shared" si="33"/>
        <v>4.8</v>
      </c>
      <c r="Q431" t="str" cm="1">
        <f t="array" ref="Q431">_xlfn.IFS(ISBLANK(P431),"Not Specified",OR(P431="N",P431=FALSE,P431="no",P431=0),"no",TRUE,"yes")</f>
        <v>Not Specified</v>
      </c>
      <c r="R431" s="5">
        <v>0.84</v>
      </c>
      <c r="S431">
        <f t="shared" si="34"/>
        <v>84</v>
      </c>
    </row>
    <row r="432" spans="1:19">
      <c r="A432" t="s">
        <v>950</v>
      </c>
      <c r="B432" t="s">
        <v>951</v>
      </c>
      <c r="C432" t="s">
        <v>68</v>
      </c>
      <c r="D432" t="str" cm="1">
        <f t="array" ref="D432">_xlfn.IFS(OR(LOWER(C432)="f",LOWER(C432)="female"),"Female",TRUE,"Male")</f>
        <v>Male</v>
      </c>
      <c r="E432">
        <v>44</v>
      </c>
      <c r="F432">
        <f t="shared" si="30"/>
        <v>44</v>
      </c>
      <c r="G432" t="s">
        <v>160</v>
      </c>
      <c r="H432" t="s">
        <v>161</v>
      </c>
      <c r="I432" t="s">
        <v>42</v>
      </c>
      <c r="K432" t="str">
        <f t="shared" si="31"/>
        <v>Not Specified</v>
      </c>
      <c r="M432" t="str">
        <f t="shared" si="32"/>
        <v>Not Specified</v>
      </c>
      <c r="N432">
        <v>1.4</v>
      </c>
      <c r="O432" s="3">
        <f t="shared" si="33"/>
        <v>1.4</v>
      </c>
      <c r="P432">
        <v>0</v>
      </c>
      <c r="Q432" t="str" cm="1">
        <f t="array" ref="Q432">_xlfn.IFS(ISBLANK(P432),"Not Specified",OR(P432="N",P432=FALSE,P432="no",P432=0),"no",TRUE,"yes")</f>
        <v>no</v>
      </c>
      <c r="R432" s="5">
        <v>0.93</v>
      </c>
      <c r="S432">
        <f t="shared" si="34"/>
        <v>93</v>
      </c>
    </row>
    <row r="433" spans="1:19">
      <c r="A433" t="s">
        <v>952</v>
      </c>
      <c r="B433" t="s">
        <v>953</v>
      </c>
      <c r="C433" t="s">
        <v>55</v>
      </c>
      <c r="D433" t="str" cm="1">
        <f t="array" ref="D433">_xlfn.IFS(OR(LOWER(C433)="f",LOWER(C433)="female"),"Female",TRUE,"Male")</f>
        <v>Male</v>
      </c>
      <c r="E433">
        <v>40</v>
      </c>
      <c r="F433">
        <f t="shared" si="30"/>
        <v>40</v>
      </c>
      <c r="G433" t="s">
        <v>100</v>
      </c>
      <c r="H433" t="s">
        <v>101</v>
      </c>
      <c r="I433" t="s">
        <v>51</v>
      </c>
      <c r="J433">
        <v>13</v>
      </c>
      <c r="K433">
        <f t="shared" si="31"/>
        <v>13</v>
      </c>
      <c r="L433" t="s">
        <v>31</v>
      </c>
      <c r="M433" t="str">
        <f t="shared" si="32"/>
        <v> 100</v>
      </c>
      <c r="N433">
        <v>1.1</v>
      </c>
      <c r="O433" s="3">
        <f t="shared" si="33"/>
        <v>1.1</v>
      </c>
      <c r="P433">
        <v>1</v>
      </c>
      <c r="Q433" t="str" cm="1">
        <f t="array" ref="Q433">_xlfn.IFS(ISBLANK(P433),"Not Specified",OR(P433="N",P433=FALSE,P433="no",P433=0),"no",TRUE,"yes")</f>
        <v>yes</v>
      </c>
      <c r="S433" t="str">
        <f t="shared" si="34"/>
        <v>Not Specified</v>
      </c>
    </row>
    <row r="434" spans="1:19">
      <c r="A434" t="s">
        <v>954</v>
      </c>
      <c r="B434" t="s">
        <v>955</v>
      </c>
      <c r="C434" t="s">
        <v>41</v>
      </c>
      <c r="D434" t="str" cm="1">
        <f t="array" ref="D434">_xlfn.IFS(OR(LOWER(C434)="f",LOWER(C434)="female"),"Female",TRUE,"Male")</f>
        <v>Female</v>
      </c>
      <c r="E434">
        <v>53</v>
      </c>
      <c r="F434">
        <f t="shared" si="30"/>
        <v>53</v>
      </c>
      <c r="G434" t="s">
        <v>49</v>
      </c>
      <c r="H434" t="s">
        <v>50</v>
      </c>
      <c r="I434" t="s">
        <v>121</v>
      </c>
      <c r="J434">
        <v>13</v>
      </c>
      <c r="K434">
        <f t="shared" si="31"/>
        <v>13</v>
      </c>
      <c r="L434" t="s">
        <v>71</v>
      </c>
      <c r="M434" t="str">
        <f t="shared" si="32"/>
        <v>50</v>
      </c>
      <c r="N434">
        <v>3.3</v>
      </c>
      <c r="O434" s="3">
        <f t="shared" si="33"/>
        <v>3.3</v>
      </c>
      <c r="P434" t="s">
        <v>81</v>
      </c>
      <c r="Q434" t="str" cm="1">
        <f t="array" ref="Q434">_xlfn.IFS(ISBLANK(P434),"Not Specified",OR(P434="N",P434=FALSE,P434="no",P434=0),"no",TRUE,"yes")</f>
        <v>yes</v>
      </c>
      <c r="R434" s="5">
        <v>0.93</v>
      </c>
      <c r="S434">
        <f t="shared" si="34"/>
        <v>93</v>
      </c>
    </row>
    <row r="435" spans="1:19">
      <c r="A435" t="s">
        <v>956</v>
      </c>
      <c r="B435" t="s">
        <v>957</v>
      </c>
      <c r="C435" t="s">
        <v>21</v>
      </c>
      <c r="D435" t="str" cm="1">
        <f t="array" ref="D435">_xlfn.IFS(OR(LOWER(C435)="f",LOWER(C435)="female"),"Female",TRUE,"Male")</f>
        <v>Female</v>
      </c>
      <c r="E435">
        <v>35</v>
      </c>
      <c r="F435">
        <f t="shared" si="30"/>
        <v>35</v>
      </c>
      <c r="G435" t="s">
        <v>35</v>
      </c>
      <c r="H435" t="s">
        <v>36</v>
      </c>
      <c r="I435" t="s">
        <v>24</v>
      </c>
      <c r="J435">
        <v>0</v>
      </c>
      <c r="K435">
        <f t="shared" si="31"/>
        <v>0</v>
      </c>
      <c r="L435" t="s">
        <v>116</v>
      </c>
      <c r="M435" t="str">
        <f t="shared" si="32"/>
        <v> 30</v>
      </c>
      <c r="N435">
        <v>4.6</v>
      </c>
      <c r="O435" s="3">
        <f t="shared" si="33"/>
        <v>4.6</v>
      </c>
      <c r="Q435" t="str" cm="1">
        <f t="array" ref="Q435">_xlfn.IFS(ISBLANK(P435),"Not Specified",OR(P435="N",P435=FALSE,P435="no",P435=0),"no",TRUE,"yes")</f>
        <v>Not Specified</v>
      </c>
      <c r="R435" s="5">
        <v>0.97</v>
      </c>
      <c r="S435">
        <f t="shared" si="34"/>
        <v>97</v>
      </c>
    </row>
    <row r="436" spans="1:19">
      <c r="A436" t="s">
        <v>958</v>
      </c>
      <c r="B436" t="s">
        <v>959</v>
      </c>
      <c r="C436" t="s">
        <v>27</v>
      </c>
      <c r="D436" t="str" cm="1">
        <f t="array" ref="D436">_xlfn.IFS(OR(LOWER(C436)="f",LOWER(C436)="female"),"Female",TRUE,"Male")</f>
        <v>Female</v>
      </c>
      <c r="E436">
        <v>27</v>
      </c>
      <c r="F436">
        <f t="shared" si="30"/>
        <v>27</v>
      </c>
      <c r="G436" t="s">
        <v>78</v>
      </c>
      <c r="H436" t="s">
        <v>79</v>
      </c>
      <c r="I436" t="s">
        <v>121</v>
      </c>
      <c r="J436">
        <v>7</v>
      </c>
      <c r="K436">
        <f t="shared" si="31"/>
        <v>7</v>
      </c>
      <c r="L436" t="s">
        <v>59</v>
      </c>
      <c r="M436" t="str">
        <f t="shared" si="32"/>
        <v> 75</v>
      </c>
      <c r="N436">
        <v>2.8</v>
      </c>
      <c r="O436" s="3">
        <f t="shared" si="33"/>
        <v>2.8</v>
      </c>
      <c r="P436">
        <v>1</v>
      </c>
      <c r="Q436" t="str" cm="1">
        <f t="array" ref="Q436">_xlfn.IFS(ISBLANK(P436),"Not Specified",OR(P436="N",P436=FALSE,P436="no",P436=0),"no",TRUE,"yes")</f>
        <v>yes</v>
      </c>
      <c r="R436" s="5">
        <v>0.92</v>
      </c>
      <c r="S436">
        <f t="shared" si="34"/>
        <v>92</v>
      </c>
    </row>
    <row r="437" spans="1:19">
      <c r="A437" t="s">
        <v>960</v>
      </c>
      <c r="B437" t="s">
        <v>961</v>
      </c>
      <c r="C437" t="s">
        <v>68</v>
      </c>
      <c r="D437" t="str" cm="1">
        <f t="array" ref="D437">_xlfn.IFS(OR(LOWER(C437)="f",LOWER(C437)="female"),"Female",TRUE,"Male")</f>
        <v>Male</v>
      </c>
      <c r="E437">
        <v>34</v>
      </c>
      <c r="F437">
        <f t="shared" si="30"/>
        <v>34</v>
      </c>
      <c r="G437" t="s">
        <v>28</v>
      </c>
      <c r="H437" t="s">
        <v>29</v>
      </c>
      <c r="I437" t="s">
        <v>96</v>
      </c>
      <c r="J437">
        <v>6</v>
      </c>
      <c r="K437">
        <f t="shared" si="31"/>
        <v>6</v>
      </c>
      <c r="L437">
        <v>50</v>
      </c>
      <c r="M437" t="str">
        <f t="shared" si="32"/>
        <v>50</v>
      </c>
      <c r="N437">
        <v>5</v>
      </c>
      <c r="O437" s="3">
        <f t="shared" si="33"/>
        <v>5</v>
      </c>
      <c r="P437" t="s">
        <v>81</v>
      </c>
      <c r="Q437" t="str" cm="1">
        <f t="array" ref="Q437">_xlfn.IFS(ISBLANK(P437),"Not Specified",OR(P437="N",P437=FALSE,P437="no",P437=0),"no",TRUE,"yes")</f>
        <v>yes</v>
      </c>
      <c r="R437" s="5">
        <v>0.92</v>
      </c>
      <c r="S437">
        <f t="shared" si="34"/>
        <v>92</v>
      </c>
    </row>
    <row r="438" spans="1:19">
      <c r="A438" t="s">
        <v>962</v>
      </c>
      <c r="B438" t="s">
        <v>963</v>
      </c>
      <c r="C438" t="s">
        <v>34</v>
      </c>
      <c r="D438" t="str" cm="1">
        <f t="array" ref="D438">_xlfn.IFS(OR(LOWER(C438)="f",LOWER(C438)="female"),"Female",TRUE,"Male")</f>
        <v>Male</v>
      </c>
      <c r="E438">
        <v>24</v>
      </c>
      <c r="F438">
        <f t="shared" si="30"/>
        <v>24</v>
      </c>
      <c r="G438" t="s">
        <v>100</v>
      </c>
      <c r="H438" t="s">
        <v>101</v>
      </c>
      <c r="I438" t="s">
        <v>85</v>
      </c>
      <c r="J438">
        <v>2</v>
      </c>
      <c r="K438">
        <f t="shared" si="31"/>
        <v>2</v>
      </c>
      <c r="L438">
        <v>75</v>
      </c>
      <c r="M438" t="str">
        <f t="shared" si="32"/>
        <v>75</v>
      </c>
      <c r="N438">
        <v>4.7</v>
      </c>
      <c r="O438" s="3">
        <f t="shared" si="33"/>
        <v>4.7</v>
      </c>
      <c r="P438" t="s">
        <v>166</v>
      </c>
      <c r="Q438" t="str" cm="1">
        <f t="array" ref="Q438">_xlfn.IFS(ISBLANK(P438),"Not Specified",OR(P438="N",P438=FALSE,P438="no",P438=0),"no",TRUE,"yes")</f>
        <v>no</v>
      </c>
      <c r="R438" s="5">
        <v>0.68</v>
      </c>
      <c r="S438">
        <f t="shared" si="34"/>
        <v>68</v>
      </c>
    </row>
    <row r="439" spans="1:19">
      <c r="A439" t="s">
        <v>964</v>
      </c>
      <c r="B439" t="s">
        <v>965</v>
      </c>
      <c r="C439" t="s">
        <v>34</v>
      </c>
      <c r="D439" t="str" cm="1">
        <f t="array" ref="D439">_xlfn.IFS(OR(LOWER(C439)="f",LOWER(C439)="female"),"Female",TRUE,"Male")</f>
        <v>Male</v>
      </c>
      <c r="E439">
        <v>57</v>
      </c>
      <c r="F439">
        <f t="shared" si="30"/>
        <v>57</v>
      </c>
      <c r="G439" t="s">
        <v>65</v>
      </c>
      <c r="H439" t="s">
        <v>29</v>
      </c>
      <c r="I439" t="s">
        <v>80</v>
      </c>
      <c r="J439">
        <v>13</v>
      </c>
      <c r="K439">
        <f t="shared" si="31"/>
        <v>13</v>
      </c>
      <c r="L439">
        <v>100</v>
      </c>
      <c r="M439" t="str">
        <f t="shared" si="32"/>
        <v>100</v>
      </c>
      <c r="N439">
        <v>3.5</v>
      </c>
      <c r="O439" s="3">
        <f t="shared" si="33"/>
        <v>3.5</v>
      </c>
      <c r="P439" t="s">
        <v>166</v>
      </c>
      <c r="Q439" t="str" cm="1">
        <f t="array" ref="Q439">_xlfn.IFS(ISBLANK(P439),"Not Specified",OR(P439="N",P439=FALSE,P439="no",P439=0),"no",TRUE,"yes")</f>
        <v>no</v>
      </c>
      <c r="R439" s="5">
        <v>0.95</v>
      </c>
      <c r="S439">
        <f t="shared" si="34"/>
        <v>95</v>
      </c>
    </row>
    <row r="440" spans="1:19">
      <c r="A440" t="s">
        <v>966</v>
      </c>
      <c r="B440" t="s">
        <v>967</v>
      </c>
      <c r="C440" t="s">
        <v>55</v>
      </c>
      <c r="D440" t="str" cm="1">
        <f t="array" ref="D440">_xlfn.IFS(OR(LOWER(C440)="f",LOWER(C440)="female"),"Female",TRUE,"Male")</f>
        <v>Male</v>
      </c>
      <c r="E440">
        <v>28</v>
      </c>
      <c r="F440">
        <f t="shared" si="30"/>
        <v>28</v>
      </c>
      <c r="G440" t="s">
        <v>119</v>
      </c>
      <c r="H440" t="s">
        <v>120</v>
      </c>
      <c r="I440" t="s">
        <v>80</v>
      </c>
      <c r="J440">
        <v>7</v>
      </c>
      <c r="K440">
        <f t="shared" si="31"/>
        <v>7</v>
      </c>
      <c r="L440" t="s">
        <v>236</v>
      </c>
      <c r="M440" t="str">
        <f t="shared" si="32"/>
        <v>100</v>
      </c>
      <c r="N440">
        <v>4.3</v>
      </c>
      <c r="O440" s="3">
        <f t="shared" si="33"/>
        <v>4.3</v>
      </c>
      <c r="P440" t="b">
        <v>0</v>
      </c>
      <c r="Q440" t="str" cm="1">
        <f t="array" ref="Q440">_xlfn.IFS(ISBLANK(P440),"Not Specified",OR(P440="N",P440=FALSE,P440="no",P440=0),"no",TRUE,"yes")</f>
        <v>no</v>
      </c>
      <c r="R440" s="5">
        <v>0.76</v>
      </c>
      <c r="S440">
        <f t="shared" si="34"/>
        <v>76</v>
      </c>
    </row>
    <row r="441" spans="1:19">
      <c r="A441" t="s">
        <v>968</v>
      </c>
      <c r="B441" t="s">
        <v>969</v>
      </c>
      <c r="C441" t="s">
        <v>41</v>
      </c>
      <c r="D441" t="str" cm="1">
        <f t="array" ref="D441">_xlfn.IFS(OR(LOWER(C441)="f",LOWER(C441)="female"),"Female",TRUE,"Male")</f>
        <v>Female</v>
      </c>
      <c r="E441">
        <v>26</v>
      </c>
      <c r="F441">
        <f t="shared" si="30"/>
        <v>26</v>
      </c>
      <c r="G441" t="s">
        <v>22</v>
      </c>
      <c r="H441" t="s">
        <v>23</v>
      </c>
      <c r="I441" t="s">
        <v>96</v>
      </c>
      <c r="J441">
        <v>7</v>
      </c>
      <c r="K441">
        <f t="shared" si="31"/>
        <v>7</v>
      </c>
      <c r="L441" t="s">
        <v>31</v>
      </c>
      <c r="M441" t="str">
        <f t="shared" si="32"/>
        <v> 100</v>
      </c>
      <c r="N441">
        <v>3.3</v>
      </c>
      <c r="O441" s="3">
        <f t="shared" si="33"/>
        <v>3.3</v>
      </c>
      <c r="P441" t="s">
        <v>75</v>
      </c>
      <c r="Q441" t="str" cm="1">
        <f t="array" ref="Q441">_xlfn.IFS(ISBLANK(P441),"Not Specified",OR(P441="N",P441=FALSE,P441="no",P441=0),"no",TRUE,"yes")</f>
        <v>yes</v>
      </c>
      <c r="R441" s="5">
        <v>0.66</v>
      </c>
      <c r="S441">
        <f t="shared" si="34"/>
        <v>66</v>
      </c>
    </row>
    <row r="442" spans="1:19">
      <c r="A442" t="s">
        <v>970</v>
      </c>
      <c r="B442" t="s">
        <v>971</v>
      </c>
      <c r="C442" t="s">
        <v>104</v>
      </c>
      <c r="D442" t="str" cm="1">
        <f t="array" ref="D442">_xlfn.IFS(OR(LOWER(C442)="f",LOWER(C442)="female"),"Female",TRUE,"Male")</f>
        <v>Male</v>
      </c>
      <c r="E442">
        <v>34</v>
      </c>
      <c r="F442">
        <f t="shared" si="30"/>
        <v>34</v>
      </c>
      <c r="G442" t="s">
        <v>78</v>
      </c>
      <c r="H442" t="s">
        <v>79</v>
      </c>
      <c r="I442" t="s">
        <v>30</v>
      </c>
      <c r="J442">
        <v>15</v>
      </c>
      <c r="K442">
        <f t="shared" si="31"/>
        <v>15</v>
      </c>
      <c r="L442">
        <v>75</v>
      </c>
      <c r="M442" t="str">
        <f t="shared" si="32"/>
        <v>75</v>
      </c>
      <c r="O442" s="3" t="str">
        <f t="shared" si="33"/>
        <v>Not Specified</v>
      </c>
      <c r="P442">
        <v>0</v>
      </c>
      <c r="Q442" t="str" cm="1">
        <f t="array" ref="Q442">_xlfn.IFS(ISBLANK(P442),"Not Specified",OR(P442="N",P442=FALSE,P442="no",P442=0),"no",TRUE,"yes")</f>
        <v>no</v>
      </c>
      <c r="R442" s="5">
        <v>0.73</v>
      </c>
      <c r="S442">
        <f t="shared" si="34"/>
        <v>73</v>
      </c>
    </row>
    <row r="443" spans="1:19">
      <c r="A443" t="s">
        <v>972</v>
      </c>
      <c r="B443" t="s">
        <v>973</v>
      </c>
      <c r="C443" t="s">
        <v>104</v>
      </c>
      <c r="D443" t="str" cm="1">
        <f t="array" ref="D443">_xlfn.IFS(OR(LOWER(C443)="f",LOWER(C443)="female"),"Female",TRUE,"Male")</f>
        <v>Male</v>
      </c>
      <c r="E443">
        <v>43</v>
      </c>
      <c r="F443">
        <f t="shared" si="30"/>
        <v>43</v>
      </c>
      <c r="G443" t="s">
        <v>92</v>
      </c>
      <c r="H443" t="s">
        <v>93</v>
      </c>
      <c r="I443" t="s">
        <v>51</v>
      </c>
      <c r="K443" t="str">
        <f t="shared" si="31"/>
        <v>Not Specified</v>
      </c>
      <c r="L443" t="s">
        <v>321</v>
      </c>
      <c r="M443" t="str">
        <f t="shared" si="32"/>
        <v> 20</v>
      </c>
      <c r="N443">
        <v>2.8</v>
      </c>
      <c r="O443" s="3">
        <f t="shared" si="33"/>
        <v>2.8</v>
      </c>
      <c r="Q443" t="str" cm="1">
        <f t="array" ref="Q443">_xlfn.IFS(ISBLANK(P443),"Not Specified",OR(P443="N",P443=FALSE,P443="no",P443=0),"no",TRUE,"yes")</f>
        <v>Not Specified</v>
      </c>
      <c r="R443" s="5">
        <v>0.99</v>
      </c>
      <c r="S443">
        <f t="shared" si="34"/>
        <v>99</v>
      </c>
    </row>
    <row r="444" spans="1:19">
      <c r="A444" t="s">
        <v>974</v>
      </c>
      <c r="B444" t="s">
        <v>975</v>
      </c>
      <c r="C444" t="s">
        <v>99</v>
      </c>
      <c r="D444" t="str" cm="1">
        <f t="array" ref="D444">_xlfn.IFS(OR(LOWER(C444)="f",LOWER(C444)="female"),"Female",TRUE,"Male")</f>
        <v>Male</v>
      </c>
      <c r="E444">
        <v>31</v>
      </c>
      <c r="F444">
        <f t="shared" si="30"/>
        <v>31</v>
      </c>
      <c r="G444" t="s">
        <v>182</v>
      </c>
      <c r="H444" t="s">
        <v>183</v>
      </c>
      <c r="I444" t="s">
        <v>37</v>
      </c>
      <c r="J444">
        <v>5</v>
      </c>
      <c r="K444">
        <f t="shared" si="31"/>
        <v>5</v>
      </c>
      <c r="M444" t="str">
        <f t="shared" si="32"/>
        <v>Not Specified</v>
      </c>
      <c r="N444">
        <v>2.7</v>
      </c>
      <c r="O444" s="3">
        <f t="shared" si="33"/>
        <v>2.7</v>
      </c>
      <c r="P444">
        <v>1</v>
      </c>
      <c r="Q444" t="str" cm="1">
        <f t="array" ref="Q444">_xlfn.IFS(ISBLANK(P444),"Not Specified",OR(P444="N",P444=FALSE,P444="no",P444=0),"no",TRUE,"yes")</f>
        <v>yes</v>
      </c>
      <c r="R444">
        <v>94</v>
      </c>
      <c r="S444">
        <f t="shared" si="34"/>
        <v>94</v>
      </c>
    </row>
    <row r="445" spans="1:19">
      <c r="A445" t="s">
        <v>976</v>
      </c>
      <c r="B445" t="s">
        <v>977</v>
      </c>
      <c r="C445" t="s">
        <v>27</v>
      </c>
      <c r="D445" t="str" cm="1">
        <f t="array" ref="D445">_xlfn.IFS(OR(LOWER(C445)="f",LOWER(C445)="female"),"Female",TRUE,"Male")</f>
        <v>Female</v>
      </c>
      <c r="E445">
        <v>34</v>
      </c>
      <c r="F445">
        <f t="shared" si="30"/>
        <v>34</v>
      </c>
      <c r="G445" t="s">
        <v>182</v>
      </c>
      <c r="H445" t="s">
        <v>183</v>
      </c>
      <c r="I445" t="s">
        <v>24</v>
      </c>
      <c r="K445" t="str">
        <f t="shared" si="31"/>
        <v>Not Specified</v>
      </c>
      <c r="L445" t="s">
        <v>71</v>
      </c>
      <c r="M445" t="str">
        <f t="shared" si="32"/>
        <v>50</v>
      </c>
      <c r="N445">
        <v>0</v>
      </c>
      <c r="O445" s="3" t="str">
        <f t="shared" si="33"/>
        <v>Not Specified</v>
      </c>
      <c r="P445" t="b">
        <v>0</v>
      </c>
      <c r="Q445" t="str" cm="1">
        <f t="array" ref="Q445">_xlfn.IFS(ISBLANK(P445),"Not Specified",OR(P445="N",P445=FALSE,P445="no",P445=0),"no",TRUE,"yes")</f>
        <v>no</v>
      </c>
      <c r="R445">
        <v>84</v>
      </c>
      <c r="S445">
        <f t="shared" si="34"/>
        <v>84</v>
      </c>
    </row>
    <row r="446" spans="1:19">
      <c r="A446" t="s">
        <v>978</v>
      </c>
      <c r="B446" t="s">
        <v>979</v>
      </c>
      <c r="C446" t="s">
        <v>41</v>
      </c>
      <c r="D446" t="str" cm="1">
        <f t="array" ref="D446">_xlfn.IFS(OR(LOWER(C446)="f",LOWER(C446)="female"),"Female",TRUE,"Male")</f>
        <v>Female</v>
      </c>
      <c r="E446">
        <v>32</v>
      </c>
      <c r="F446">
        <f t="shared" si="30"/>
        <v>32</v>
      </c>
      <c r="G446" t="s">
        <v>131</v>
      </c>
      <c r="H446" t="s">
        <v>132</v>
      </c>
      <c r="I446" t="s">
        <v>85</v>
      </c>
      <c r="J446">
        <v>10</v>
      </c>
      <c r="K446">
        <f t="shared" si="31"/>
        <v>10</v>
      </c>
      <c r="L446" t="s">
        <v>128</v>
      </c>
      <c r="M446" t="str">
        <f t="shared" si="32"/>
        <v>20</v>
      </c>
      <c r="O446" s="3" t="str">
        <f t="shared" si="33"/>
        <v>Not Specified</v>
      </c>
      <c r="P446" t="s">
        <v>81</v>
      </c>
      <c r="Q446" t="str" cm="1">
        <f t="array" ref="Q446">_xlfn.IFS(ISBLANK(P446),"Not Specified",OR(P446="N",P446=FALSE,P446="no",P446=0),"no",TRUE,"yes")</f>
        <v>yes</v>
      </c>
      <c r="R446" s="5">
        <v>0.92</v>
      </c>
      <c r="S446">
        <f t="shared" si="34"/>
        <v>92</v>
      </c>
    </row>
    <row r="447" spans="1:19">
      <c r="A447" t="s">
        <v>980</v>
      </c>
      <c r="B447" t="s">
        <v>981</v>
      </c>
      <c r="C447" t="s">
        <v>55</v>
      </c>
      <c r="D447" t="str" cm="1">
        <f t="array" ref="D447">_xlfn.IFS(OR(LOWER(C447)="f",LOWER(C447)="female"),"Female",TRUE,"Male")</f>
        <v>Male</v>
      </c>
      <c r="E447">
        <v>24</v>
      </c>
      <c r="F447">
        <f t="shared" si="30"/>
        <v>24</v>
      </c>
      <c r="G447" t="s">
        <v>146</v>
      </c>
      <c r="H447" t="s">
        <v>147</v>
      </c>
      <c r="I447" t="s">
        <v>96</v>
      </c>
      <c r="J447">
        <v>6</v>
      </c>
      <c r="K447">
        <f t="shared" si="31"/>
        <v>6</v>
      </c>
      <c r="L447" t="s">
        <v>177</v>
      </c>
      <c r="M447" t="str">
        <f t="shared" si="32"/>
        <v>75</v>
      </c>
      <c r="N447">
        <v>4.3</v>
      </c>
      <c r="O447" s="3">
        <f t="shared" si="33"/>
        <v>4.3</v>
      </c>
      <c r="P447" t="s">
        <v>75</v>
      </c>
      <c r="Q447" t="str" cm="1">
        <f t="array" ref="Q447">_xlfn.IFS(ISBLANK(P447),"Not Specified",OR(P447="N",P447=FALSE,P447="no",P447=0),"no",TRUE,"yes")</f>
        <v>yes</v>
      </c>
      <c r="S447" t="str">
        <f t="shared" si="34"/>
        <v>Not Specified</v>
      </c>
    </row>
    <row r="448" spans="1:19">
      <c r="A448" t="s">
        <v>982</v>
      </c>
      <c r="B448" t="s">
        <v>983</v>
      </c>
      <c r="C448" t="s">
        <v>34</v>
      </c>
      <c r="D448" t="str" cm="1">
        <f t="array" ref="D448">_xlfn.IFS(OR(LOWER(C448)="f",LOWER(C448)="female"),"Female",TRUE,"Male")</f>
        <v>Male</v>
      </c>
      <c r="E448">
        <v>35</v>
      </c>
      <c r="F448">
        <f t="shared" si="30"/>
        <v>35</v>
      </c>
      <c r="G448" t="s">
        <v>74</v>
      </c>
      <c r="H448" t="s">
        <v>29</v>
      </c>
      <c r="I448" t="s">
        <v>51</v>
      </c>
      <c r="J448">
        <v>8</v>
      </c>
      <c r="K448">
        <f t="shared" si="31"/>
        <v>8</v>
      </c>
      <c r="L448" t="s">
        <v>105</v>
      </c>
      <c r="M448" t="str">
        <f t="shared" si="32"/>
        <v> 50</v>
      </c>
      <c r="O448" s="3" t="str">
        <f t="shared" si="33"/>
        <v>Not Specified</v>
      </c>
      <c r="P448" t="s">
        <v>166</v>
      </c>
      <c r="Q448" t="str" cm="1">
        <f t="array" ref="Q448">_xlfn.IFS(ISBLANK(P448),"Not Specified",OR(P448="N",P448=FALSE,P448="no",P448=0),"no",TRUE,"yes")</f>
        <v>no</v>
      </c>
      <c r="R448">
        <v>90</v>
      </c>
      <c r="S448">
        <f t="shared" si="34"/>
        <v>90</v>
      </c>
    </row>
    <row r="449" spans="1:19">
      <c r="A449" t="s">
        <v>984</v>
      </c>
      <c r="B449" t="s">
        <v>985</v>
      </c>
      <c r="C449" t="s">
        <v>27</v>
      </c>
      <c r="D449" t="str" cm="1">
        <f t="array" ref="D449">_xlfn.IFS(OR(LOWER(C449)="f",LOWER(C449)="female"),"Female",TRUE,"Male")</f>
        <v>Female</v>
      </c>
      <c r="E449">
        <v>22</v>
      </c>
      <c r="F449">
        <f t="shared" si="30"/>
        <v>22</v>
      </c>
      <c r="G449" t="s">
        <v>28</v>
      </c>
      <c r="H449" t="s">
        <v>29</v>
      </c>
      <c r="I449" t="s">
        <v>30</v>
      </c>
      <c r="J449">
        <v>4</v>
      </c>
      <c r="K449">
        <f t="shared" si="31"/>
        <v>4</v>
      </c>
      <c r="L449">
        <v>20</v>
      </c>
      <c r="M449" t="str">
        <f t="shared" si="32"/>
        <v>20</v>
      </c>
      <c r="O449" s="3" t="str">
        <f t="shared" si="33"/>
        <v>Not Specified</v>
      </c>
      <c r="P449">
        <v>0</v>
      </c>
      <c r="Q449" t="str" cm="1">
        <f t="array" ref="Q449">_xlfn.IFS(ISBLANK(P449),"Not Specified",OR(P449="N",P449=FALSE,P449="no",P449=0),"no",TRUE,"yes")</f>
        <v>no</v>
      </c>
      <c r="R449" s="5">
        <v>0.73</v>
      </c>
      <c r="S449">
        <f t="shared" si="34"/>
        <v>73</v>
      </c>
    </row>
    <row r="450" spans="1:19">
      <c r="A450" t="s">
        <v>986</v>
      </c>
      <c r="B450" t="s">
        <v>987</v>
      </c>
      <c r="C450" t="s">
        <v>41</v>
      </c>
      <c r="D450" t="str" cm="1">
        <f t="array" ref="D450">_xlfn.IFS(OR(LOWER(C450)="f",LOWER(C450)="female"),"Female",TRUE,"Male")</f>
        <v>Female</v>
      </c>
      <c r="E450">
        <v>55</v>
      </c>
      <c r="F450">
        <f t="shared" si="30"/>
        <v>55</v>
      </c>
      <c r="G450" t="s">
        <v>146</v>
      </c>
      <c r="H450" t="s">
        <v>147</v>
      </c>
      <c r="I450" t="s">
        <v>51</v>
      </c>
      <c r="J450">
        <v>3</v>
      </c>
      <c r="K450">
        <f t="shared" si="31"/>
        <v>3</v>
      </c>
      <c r="L450">
        <v>100</v>
      </c>
      <c r="M450" t="str">
        <f t="shared" si="32"/>
        <v>100</v>
      </c>
      <c r="O450" s="3" t="str">
        <f t="shared" si="33"/>
        <v>Not Specified</v>
      </c>
      <c r="P450">
        <v>1</v>
      </c>
      <c r="Q450" t="str" cm="1">
        <f t="array" ref="Q450">_xlfn.IFS(ISBLANK(P450),"Not Specified",OR(P450="N",P450=FALSE,P450="no",P450=0),"no",TRUE,"yes")</f>
        <v>yes</v>
      </c>
      <c r="R450" s="5">
        <v>0.73</v>
      </c>
      <c r="S450">
        <f t="shared" si="34"/>
        <v>73</v>
      </c>
    </row>
    <row r="451" spans="1:19">
      <c r="A451" t="s">
        <v>988</v>
      </c>
      <c r="B451" t="s">
        <v>989</v>
      </c>
      <c r="C451" t="s">
        <v>46</v>
      </c>
      <c r="D451" t="str" cm="1">
        <f t="array" ref="D451">_xlfn.IFS(OR(LOWER(C451)="f",LOWER(C451)="female"),"Female",TRUE,"Male")</f>
        <v>Female</v>
      </c>
      <c r="E451">
        <v>54</v>
      </c>
      <c r="F451">
        <f t="shared" ref="F451:F514" si="35">IF(ISNUMBER(E451),E451,"Not Specified")</f>
        <v>54</v>
      </c>
      <c r="G451" t="s">
        <v>78</v>
      </c>
      <c r="H451" t="s">
        <v>79</v>
      </c>
      <c r="I451" t="s">
        <v>121</v>
      </c>
      <c r="K451" t="str">
        <f t="shared" ref="K451:K514" si="36">IF(ISNUMBER(J451),J451,"Not Specified")</f>
        <v>Not Specified</v>
      </c>
      <c r="L451">
        <v>30</v>
      </c>
      <c r="M451" t="str">
        <f t="shared" ref="M451:M514" si="37">IF(SUBSTITUTE(SUBSTITUTE(L451,"USD",""),"$","")="","Not Specified",SUBSTITUTE(SUBSTITUTE(L451,"USD",""),"$",""))</f>
        <v>30</v>
      </c>
      <c r="N451">
        <v>2.9</v>
      </c>
      <c r="O451" s="3">
        <f t="shared" ref="O451:O514" si="38">IF(OR(N451="",N451=0),"Not Specified",N451)</f>
        <v>2.9</v>
      </c>
      <c r="P451" t="b">
        <v>1</v>
      </c>
      <c r="Q451" t="str" cm="1">
        <f t="array" ref="Q451">_xlfn.IFS(ISBLANK(P451),"Not Specified",OR(P451="N",P451=FALSE,P451="no",P451=0),"no",TRUE,"yes")</f>
        <v>yes</v>
      </c>
      <c r="R451" s="5">
        <v>0.78</v>
      </c>
      <c r="S451">
        <f t="shared" ref="S451:S514" si="39">IF(ISBLANK(R451),"Not Specified",IF(R451&lt;=1,R451*100,R451))</f>
        <v>78</v>
      </c>
    </row>
    <row r="452" spans="1:19">
      <c r="A452" t="s">
        <v>990</v>
      </c>
      <c r="B452" t="s">
        <v>991</v>
      </c>
      <c r="C452" t="s">
        <v>21</v>
      </c>
      <c r="D452" t="str" cm="1">
        <f t="array" ref="D452">_xlfn.IFS(OR(LOWER(C452)="f",LOWER(C452)="female"),"Female",TRUE,"Male")</f>
        <v>Female</v>
      </c>
      <c r="E452">
        <v>36</v>
      </c>
      <c r="F452">
        <f t="shared" si="35"/>
        <v>36</v>
      </c>
      <c r="G452" t="s">
        <v>49</v>
      </c>
      <c r="H452" t="s">
        <v>50</v>
      </c>
      <c r="I452" t="s">
        <v>85</v>
      </c>
      <c r="J452">
        <v>11</v>
      </c>
      <c r="K452">
        <f t="shared" si="36"/>
        <v>11</v>
      </c>
      <c r="L452" t="s">
        <v>52</v>
      </c>
      <c r="M452" t="str">
        <f t="shared" si="37"/>
        <v>30</v>
      </c>
      <c r="N452">
        <v>0</v>
      </c>
      <c r="O452" s="3" t="str">
        <f t="shared" si="38"/>
        <v>Not Specified</v>
      </c>
      <c r="P452" t="b">
        <v>1</v>
      </c>
      <c r="Q452" t="str" cm="1">
        <f t="array" ref="Q452">_xlfn.IFS(ISBLANK(P452),"Not Specified",OR(P452="N",P452=FALSE,P452="no",P452=0),"no",TRUE,"yes")</f>
        <v>yes</v>
      </c>
      <c r="R452" s="5">
        <v>0.63</v>
      </c>
      <c r="S452">
        <f t="shared" si="39"/>
        <v>63</v>
      </c>
    </row>
    <row r="453" spans="1:19">
      <c r="A453" t="s">
        <v>992</v>
      </c>
      <c r="B453" t="s">
        <v>993</v>
      </c>
      <c r="C453" t="s">
        <v>46</v>
      </c>
      <c r="D453" t="str" cm="1">
        <f t="array" ref="D453">_xlfn.IFS(OR(LOWER(C453)="f",LOWER(C453)="female"),"Female",TRUE,"Male")</f>
        <v>Female</v>
      </c>
      <c r="E453">
        <v>36</v>
      </c>
      <c r="F453">
        <f t="shared" si="35"/>
        <v>36</v>
      </c>
      <c r="G453" t="s">
        <v>49</v>
      </c>
      <c r="H453" t="s">
        <v>50</v>
      </c>
      <c r="I453" t="s">
        <v>51</v>
      </c>
      <c r="J453">
        <v>17</v>
      </c>
      <c r="K453">
        <f t="shared" si="36"/>
        <v>17</v>
      </c>
      <c r="L453">
        <v>50</v>
      </c>
      <c r="M453" t="str">
        <f t="shared" si="37"/>
        <v>50</v>
      </c>
      <c r="N453">
        <v>1.3</v>
      </c>
      <c r="O453" s="3">
        <f t="shared" si="38"/>
        <v>1.3</v>
      </c>
      <c r="Q453" t="str" cm="1">
        <f t="array" ref="Q453">_xlfn.IFS(ISBLANK(P453),"Not Specified",OR(P453="N",P453=FALSE,P453="no",P453=0),"no",TRUE,"yes")</f>
        <v>Not Specified</v>
      </c>
      <c r="R453" s="5">
        <v>0.64</v>
      </c>
      <c r="S453">
        <f t="shared" si="39"/>
        <v>64</v>
      </c>
    </row>
    <row r="454" spans="1:19">
      <c r="A454" t="s">
        <v>994</v>
      </c>
      <c r="B454" t="s">
        <v>995</v>
      </c>
      <c r="C454" t="s">
        <v>21</v>
      </c>
      <c r="D454" t="str" cm="1">
        <f t="array" ref="D454">_xlfn.IFS(OR(LOWER(C454)="f",LOWER(C454)="female"),"Female",TRUE,"Male")</f>
        <v>Female</v>
      </c>
      <c r="E454">
        <v>25</v>
      </c>
      <c r="F454">
        <f t="shared" si="35"/>
        <v>25</v>
      </c>
      <c r="G454" t="s">
        <v>78</v>
      </c>
      <c r="H454" t="s">
        <v>79</v>
      </c>
      <c r="I454" t="s">
        <v>42</v>
      </c>
      <c r="J454">
        <v>1</v>
      </c>
      <c r="K454">
        <f t="shared" si="36"/>
        <v>1</v>
      </c>
      <c r="L454">
        <v>75</v>
      </c>
      <c r="M454" t="str">
        <f t="shared" si="37"/>
        <v>75</v>
      </c>
      <c r="N454">
        <v>0</v>
      </c>
      <c r="O454" s="3" t="str">
        <f t="shared" si="38"/>
        <v>Not Specified</v>
      </c>
      <c r="P454">
        <v>1</v>
      </c>
      <c r="Q454" t="str" cm="1">
        <f t="array" ref="Q454">_xlfn.IFS(ISBLANK(P454),"Not Specified",OR(P454="N",P454=FALSE,P454="no",P454=0),"no",TRUE,"yes")</f>
        <v>yes</v>
      </c>
      <c r="S454" t="str">
        <f t="shared" si="39"/>
        <v>Not Specified</v>
      </c>
    </row>
    <row r="455" spans="1:19">
      <c r="A455" t="s">
        <v>996</v>
      </c>
      <c r="B455" t="s">
        <v>997</v>
      </c>
      <c r="C455" t="s">
        <v>104</v>
      </c>
      <c r="D455" t="str" cm="1">
        <f t="array" ref="D455">_xlfn.IFS(OR(LOWER(C455)="f",LOWER(C455)="female"),"Female",TRUE,"Male")</f>
        <v>Male</v>
      </c>
      <c r="E455">
        <v>46</v>
      </c>
      <c r="F455">
        <f t="shared" si="35"/>
        <v>46</v>
      </c>
      <c r="G455" t="s">
        <v>56</v>
      </c>
      <c r="H455" t="s">
        <v>57</v>
      </c>
      <c r="I455" t="s">
        <v>51</v>
      </c>
      <c r="J455">
        <v>16</v>
      </c>
      <c r="K455">
        <f t="shared" si="36"/>
        <v>16</v>
      </c>
      <c r="L455">
        <v>20</v>
      </c>
      <c r="M455" t="str">
        <f t="shared" si="37"/>
        <v>20</v>
      </c>
      <c r="N455">
        <v>4.8</v>
      </c>
      <c r="O455" s="3">
        <f t="shared" si="38"/>
        <v>4.8</v>
      </c>
      <c r="P455">
        <v>1</v>
      </c>
      <c r="Q455" t="str" cm="1">
        <f t="array" ref="Q455">_xlfn.IFS(ISBLANK(P455),"Not Specified",OR(P455="N",P455=FALSE,P455="no",P455=0),"no",TRUE,"yes")</f>
        <v>yes</v>
      </c>
      <c r="R455" s="5">
        <v>0.86</v>
      </c>
      <c r="S455">
        <f t="shared" si="39"/>
        <v>86</v>
      </c>
    </row>
    <row r="456" spans="1:19">
      <c r="A456" t="s">
        <v>998</v>
      </c>
      <c r="B456" t="s">
        <v>999</v>
      </c>
      <c r="C456" t="s">
        <v>99</v>
      </c>
      <c r="D456" t="str" cm="1">
        <f t="array" ref="D456">_xlfn.IFS(OR(LOWER(C456)="f",LOWER(C456)="female"),"Female",TRUE,"Male")</f>
        <v>Male</v>
      </c>
      <c r="E456">
        <v>41</v>
      </c>
      <c r="F456">
        <f t="shared" si="35"/>
        <v>41</v>
      </c>
      <c r="G456" t="s">
        <v>78</v>
      </c>
      <c r="H456" t="s">
        <v>79</v>
      </c>
      <c r="I456" t="s">
        <v>121</v>
      </c>
      <c r="J456">
        <v>11</v>
      </c>
      <c r="K456">
        <f t="shared" si="36"/>
        <v>11</v>
      </c>
      <c r="L456" t="s">
        <v>43</v>
      </c>
      <c r="M456" t="str">
        <f t="shared" si="37"/>
        <v>40</v>
      </c>
      <c r="N456">
        <v>2.4</v>
      </c>
      <c r="O456" s="3">
        <f t="shared" si="38"/>
        <v>2.4</v>
      </c>
      <c r="P456" t="b">
        <v>0</v>
      </c>
      <c r="Q456" t="str" cm="1">
        <f t="array" ref="Q456">_xlfn.IFS(ISBLANK(P456),"Not Specified",OR(P456="N",P456=FALSE,P456="no",P456=0),"no",TRUE,"yes")</f>
        <v>no</v>
      </c>
      <c r="S456" t="str">
        <f t="shared" si="39"/>
        <v>Not Specified</v>
      </c>
    </row>
    <row r="457" spans="1:19">
      <c r="A457" t="s">
        <v>1000</v>
      </c>
      <c r="B457" t="s">
        <v>1001</v>
      </c>
      <c r="C457" t="s">
        <v>27</v>
      </c>
      <c r="D457" t="str" cm="1">
        <f t="array" ref="D457">_xlfn.IFS(OR(LOWER(C457)="f",LOWER(C457)="female"),"Female",TRUE,"Male")</f>
        <v>Female</v>
      </c>
      <c r="E457">
        <v>21</v>
      </c>
      <c r="F457">
        <f t="shared" si="35"/>
        <v>21</v>
      </c>
      <c r="G457" t="s">
        <v>131</v>
      </c>
      <c r="H457" t="s">
        <v>132</v>
      </c>
      <c r="I457" t="s">
        <v>30</v>
      </c>
      <c r="J457">
        <v>3</v>
      </c>
      <c r="K457">
        <f t="shared" si="36"/>
        <v>3</v>
      </c>
      <c r="L457" t="s">
        <v>236</v>
      </c>
      <c r="M457" t="str">
        <f t="shared" si="37"/>
        <v>100</v>
      </c>
      <c r="N457">
        <v>4.7</v>
      </c>
      <c r="O457" s="3">
        <f t="shared" si="38"/>
        <v>4.7</v>
      </c>
      <c r="P457" t="s">
        <v>38</v>
      </c>
      <c r="Q457" t="str" cm="1">
        <f t="array" ref="Q457">_xlfn.IFS(ISBLANK(P457),"Not Specified",OR(P457="N",P457=FALSE,P457="no",P457=0),"no",TRUE,"yes")</f>
        <v>no</v>
      </c>
      <c r="R457" s="5">
        <v>0.96</v>
      </c>
      <c r="S457">
        <f t="shared" si="39"/>
        <v>96</v>
      </c>
    </row>
    <row r="458" spans="1:19">
      <c r="A458" t="s">
        <v>1002</v>
      </c>
      <c r="B458" t="s">
        <v>1003</v>
      </c>
      <c r="C458" t="s">
        <v>104</v>
      </c>
      <c r="D458" t="str" cm="1">
        <f t="array" ref="D458">_xlfn.IFS(OR(LOWER(C458)="f",LOWER(C458)="female"),"Female",TRUE,"Male")</f>
        <v>Male</v>
      </c>
      <c r="E458">
        <v>29</v>
      </c>
      <c r="F458">
        <f t="shared" si="35"/>
        <v>29</v>
      </c>
      <c r="G458" t="s">
        <v>65</v>
      </c>
      <c r="H458" t="s">
        <v>29</v>
      </c>
      <c r="I458" t="s">
        <v>37</v>
      </c>
      <c r="K458" t="str">
        <f t="shared" si="36"/>
        <v>Not Specified</v>
      </c>
      <c r="L458" t="s">
        <v>177</v>
      </c>
      <c r="M458" t="str">
        <f t="shared" si="37"/>
        <v>75</v>
      </c>
      <c r="N458">
        <v>2</v>
      </c>
      <c r="O458" s="3">
        <f t="shared" si="38"/>
        <v>2</v>
      </c>
      <c r="P458">
        <v>0</v>
      </c>
      <c r="Q458" t="str" cm="1">
        <f t="array" ref="Q458">_xlfn.IFS(ISBLANK(P458),"Not Specified",OR(P458="N",P458=FALSE,P458="no",P458=0),"no",TRUE,"yes")</f>
        <v>no</v>
      </c>
      <c r="S458" t="str">
        <f t="shared" si="39"/>
        <v>Not Specified</v>
      </c>
    </row>
    <row r="459" spans="1:19">
      <c r="A459" t="s">
        <v>1004</v>
      </c>
      <c r="B459" t="s">
        <v>1005</v>
      </c>
      <c r="C459" t="s">
        <v>41</v>
      </c>
      <c r="D459" t="str" cm="1">
        <f t="array" ref="D459">_xlfn.IFS(OR(LOWER(C459)="f",LOWER(C459)="female"),"Female",TRUE,"Male")</f>
        <v>Female</v>
      </c>
      <c r="E459">
        <v>44</v>
      </c>
      <c r="F459">
        <f t="shared" si="35"/>
        <v>44</v>
      </c>
      <c r="G459" t="s">
        <v>65</v>
      </c>
      <c r="H459" t="s">
        <v>29</v>
      </c>
      <c r="I459" t="s">
        <v>30</v>
      </c>
      <c r="J459">
        <v>3</v>
      </c>
      <c r="K459">
        <f t="shared" si="36"/>
        <v>3</v>
      </c>
      <c r="L459" t="s">
        <v>71</v>
      </c>
      <c r="M459" t="str">
        <f t="shared" si="37"/>
        <v>50</v>
      </c>
      <c r="N459">
        <v>2.2</v>
      </c>
      <c r="O459" s="3">
        <f t="shared" si="38"/>
        <v>2.2</v>
      </c>
      <c r="P459">
        <v>0</v>
      </c>
      <c r="Q459" t="str" cm="1">
        <f t="array" ref="Q459">_xlfn.IFS(ISBLANK(P459),"Not Specified",OR(P459="N",P459=FALSE,P459="no",P459=0),"no",TRUE,"yes")</f>
        <v>no</v>
      </c>
      <c r="R459" s="5">
        <v>0.77</v>
      </c>
      <c r="S459">
        <f t="shared" si="39"/>
        <v>77</v>
      </c>
    </row>
    <row r="460" spans="1:19">
      <c r="A460" t="s">
        <v>1006</v>
      </c>
      <c r="B460" t="s">
        <v>1007</v>
      </c>
      <c r="C460" t="s">
        <v>104</v>
      </c>
      <c r="D460" t="str" cm="1">
        <f t="array" ref="D460">_xlfn.IFS(OR(LOWER(C460)="f",LOWER(C460)="female"),"Female",TRUE,"Male")</f>
        <v>Male</v>
      </c>
      <c r="E460">
        <v>40</v>
      </c>
      <c r="F460">
        <f t="shared" si="35"/>
        <v>40</v>
      </c>
      <c r="G460" t="s">
        <v>135</v>
      </c>
      <c r="H460" t="s">
        <v>29</v>
      </c>
      <c r="I460" t="s">
        <v>121</v>
      </c>
      <c r="J460">
        <v>1</v>
      </c>
      <c r="K460">
        <f t="shared" si="36"/>
        <v>1</v>
      </c>
      <c r="L460">
        <v>100</v>
      </c>
      <c r="M460" t="str">
        <f t="shared" si="37"/>
        <v>100</v>
      </c>
      <c r="N460">
        <v>2.1</v>
      </c>
      <c r="O460" s="3">
        <f t="shared" si="38"/>
        <v>2.1</v>
      </c>
      <c r="P460">
        <v>1</v>
      </c>
      <c r="Q460" t="str" cm="1">
        <f t="array" ref="Q460">_xlfn.IFS(ISBLANK(P460),"Not Specified",OR(P460="N",P460=FALSE,P460="no",P460=0),"no",TRUE,"yes")</f>
        <v>yes</v>
      </c>
      <c r="S460" t="str">
        <f t="shared" si="39"/>
        <v>Not Specified</v>
      </c>
    </row>
    <row r="461" spans="1:19">
      <c r="A461" t="s">
        <v>1008</v>
      </c>
      <c r="B461" t="s">
        <v>1009</v>
      </c>
      <c r="C461" t="s">
        <v>46</v>
      </c>
      <c r="D461" t="str" cm="1">
        <f t="array" ref="D461">_xlfn.IFS(OR(LOWER(C461)="f",LOWER(C461)="female"),"Female",TRUE,"Male")</f>
        <v>Female</v>
      </c>
      <c r="E461">
        <v>27</v>
      </c>
      <c r="F461">
        <f t="shared" si="35"/>
        <v>27</v>
      </c>
      <c r="G461" t="s">
        <v>146</v>
      </c>
      <c r="H461" t="s">
        <v>147</v>
      </c>
      <c r="I461" t="s">
        <v>58</v>
      </c>
      <c r="J461">
        <v>1</v>
      </c>
      <c r="K461">
        <f t="shared" si="36"/>
        <v>1</v>
      </c>
      <c r="L461">
        <v>30</v>
      </c>
      <c r="M461" t="str">
        <f t="shared" si="37"/>
        <v>30</v>
      </c>
      <c r="N461">
        <v>1.7</v>
      </c>
      <c r="O461" s="3">
        <f t="shared" si="38"/>
        <v>1.7</v>
      </c>
      <c r="P461" t="b">
        <v>0</v>
      </c>
      <c r="Q461" t="str" cm="1">
        <f t="array" ref="Q461">_xlfn.IFS(ISBLANK(P461),"Not Specified",OR(P461="N",P461=FALSE,P461="no",P461=0),"no",TRUE,"yes")</f>
        <v>no</v>
      </c>
      <c r="R461" s="5">
        <v>0.65</v>
      </c>
      <c r="S461">
        <f t="shared" si="39"/>
        <v>65</v>
      </c>
    </row>
    <row r="462" spans="1:19">
      <c r="A462" t="s">
        <v>1010</v>
      </c>
      <c r="B462" t="s">
        <v>1011</v>
      </c>
      <c r="C462" t="s">
        <v>68</v>
      </c>
      <c r="D462" t="str" cm="1">
        <f t="array" ref="D462">_xlfn.IFS(OR(LOWER(C462)="f",LOWER(C462)="female"),"Female",TRUE,"Male")</f>
        <v>Male</v>
      </c>
      <c r="E462">
        <v>53</v>
      </c>
      <c r="F462">
        <f t="shared" si="35"/>
        <v>53</v>
      </c>
      <c r="G462" t="s">
        <v>142</v>
      </c>
      <c r="H462" t="s">
        <v>143</v>
      </c>
      <c r="I462" t="s">
        <v>30</v>
      </c>
      <c r="J462">
        <v>35</v>
      </c>
      <c r="K462">
        <f t="shared" si="36"/>
        <v>35</v>
      </c>
      <c r="M462" t="str">
        <f t="shared" si="37"/>
        <v>Not Specified</v>
      </c>
      <c r="N462">
        <v>5</v>
      </c>
      <c r="O462" s="3">
        <f t="shared" si="38"/>
        <v>5</v>
      </c>
      <c r="P462">
        <v>1</v>
      </c>
      <c r="Q462" t="str" cm="1">
        <f t="array" ref="Q462">_xlfn.IFS(ISBLANK(P462),"Not Specified",OR(P462="N",P462=FALSE,P462="no",P462=0),"no",TRUE,"yes")</f>
        <v>yes</v>
      </c>
      <c r="R462" s="5">
        <v>0.62</v>
      </c>
      <c r="S462">
        <f t="shared" si="39"/>
        <v>62</v>
      </c>
    </row>
    <row r="463" spans="1:19">
      <c r="A463" t="s">
        <v>1012</v>
      </c>
      <c r="B463" t="s">
        <v>1013</v>
      </c>
      <c r="C463" t="s">
        <v>34</v>
      </c>
      <c r="D463" t="str" cm="1">
        <f t="array" ref="D463">_xlfn.IFS(OR(LOWER(C463)="f",LOWER(C463)="female"),"Female",TRUE,"Male")</f>
        <v>Male</v>
      </c>
      <c r="E463">
        <v>20</v>
      </c>
      <c r="F463">
        <f t="shared" si="35"/>
        <v>20</v>
      </c>
      <c r="G463" t="s">
        <v>69</v>
      </c>
      <c r="H463" t="s">
        <v>70</v>
      </c>
      <c r="I463" t="s">
        <v>58</v>
      </c>
      <c r="J463">
        <v>1</v>
      </c>
      <c r="K463">
        <f t="shared" si="36"/>
        <v>1</v>
      </c>
      <c r="L463">
        <v>50</v>
      </c>
      <c r="M463" t="str">
        <f t="shared" si="37"/>
        <v>50</v>
      </c>
      <c r="N463">
        <v>2.9</v>
      </c>
      <c r="O463" s="3">
        <f t="shared" si="38"/>
        <v>2.9</v>
      </c>
      <c r="P463" t="s">
        <v>166</v>
      </c>
      <c r="Q463" t="str" cm="1">
        <f t="array" ref="Q463">_xlfn.IFS(ISBLANK(P463),"Not Specified",OR(P463="N",P463=FALSE,P463="no",P463=0),"no",TRUE,"yes")</f>
        <v>no</v>
      </c>
      <c r="R463" s="5">
        <v>0.81</v>
      </c>
      <c r="S463">
        <f t="shared" si="39"/>
        <v>81</v>
      </c>
    </row>
    <row r="464" spans="1:19">
      <c r="A464" t="s">
        <v>1014</v>
      </c>
      <c r="B464" t="s">
        <v>1015</v>
      </c>
      <c r="C464" t="s">
        <v>46</v>
      </c>
      <c r="D464" t="str" cm="1">
        <f t="array" ref="D464">_xlfn.IFS(OR(LOWER(C464)="f",LOWER(C464)="female"),"Female",TRUE,"Male")</f>
        <v>Female</v>
      </c>
      <c r="F464" t="str">
        <f t="shared" si="35"/>
        <v>Not Specified</v>
      </c>
      <c r="G464" t="s">
        <v>92</v>
      </c>
      <c r="H464" t="s">
        <v>93</v>
      </c>
      <c r="I464" t="s">
        <v>96</v>
      </c>
      <c r="J464">
        <v>12</v>
      </c>
      <c r="K464">
        <f t="shared" si="36"/>
        <v>12</v>
      </c>
      <c r="L464" t="s">
        <v>71</v>
      </c>
      <c r="M464" t="str">
        <f t="shared" si="37"/>
        <v>50</v>
      </c>
      <c r="N464">
        <v>4.1</v>
      </c>
      <c r="O464" s="3">
        <f t="shared" si="38"/>
        <v>4.1</v>
      </c>
      <c r="P464" t="s">
        <v>81</v>
      </c>
      <c r="Q464" t="str" cm="1">
        <f t="array" ref="Q464">_xlfn.IFS(ISBLANK(P464),"Not Specified",OR(P464="N",P464=FALSE,P464="no",P464=0),"no",TRUE,"yes")</f>
        <v>yes</v>
      </c>
      <c r="R464" s="5">
        <v>0.62</v>
      </c>
      <c r="S464">
        <f t="shared" si="39"/>
        <v>62</v>
      </c>
    </row>
    <row r="465" spans="1:19">
      <c r="A465" t="s">
        <v>1016</v>
      </c>
      <c r="B465" t="s">
        <v>1017</v>
      </c>
      <c r="C465" t="s">
        <v>34</v>
      </c>
      <c r="D465" t="str" cm="1">
        <f t="array" ref="D465">_xlfn.IFS(OR(LOWER(C465)="f",LOWER(C465)="female"),"Female",TRUE,"Male")</f>
        <v>Male</v>
      </c>
      <c r="E465">
        <v>26</v>
      </c>
      <c r="F465">
        <f t="shared" si="35"/>
        <v>26</v>
      </c>
      <c r="G465" t="s">
        <v>186</v>
      </c>
      <c r="H465" t="s">
        <v>79</v>
      </c>
      <c r="I465" t="s">
        <v>42</v>
      </c>
      <c r="J465">
        <v>8</v>
      </c>
      <c r="K465">
        <f t="shared" si="36"/>
        <v>8</v>
      </c>
      <c r="L465">
        <v>40</v>
      </c>
      <c r="M465" t="str">
        <f t="shared" si="37"/>
        <v>40</v>
      </c>
      <c r="N465">
        <v>4.9</v>
      </c>
      <c r="O465" s="3">
        <f t="shared" si="38"/>
        <v>4.9</v>
      </c>
      <c r="P465" t="s">
        <v>38</v>
      </c>
      <c r="Q465" t="str" cm="1">
        <f t="array" ref="Q465">_xlfn.IFS(ISBLANK(P465),"Not Specified",OR(P465="N",P465=FALSE,P465="no",P465=0),"no",TRUE,"yes")</f>
        <v>no</v>
      </c>
      <c r="R465" s="5">
        <v>0.87</v>
      </c>
      <c r="S465">
        <f t="shared" si="39"/>
        <v>87</v>
      </c>
    </row>
    <row r="466" spans="1:19">
      <c r="A466" t="s">
        <v>1018</v>
      </c>
      <c r="B466" t="s">
        <v>1019</v>
      </c>
      <c r="C466" t="s">
        <v>46</v>
      </c>
      <c r="D466" t="str" cm="1">
        <f t="array" ref="D466">_xlfn.IFS(OR(LOWER(C466)="f",LOWER(C466)="female"),"Female",TRUE,"Male")</f>
        <v>Female</v>
      </c>
      <c r="E466">
        <v>49</v>
      </c>
      <c r="F466">
        <f t="shared" si="35"/>
        <v>49</v>
      </c>
      <c r="G466" t="s">
        <v>114</v>
      </c>
      <c r="H466" t="s">
        <v>115</v>
      </c>
      <c r="I466" t="s">
        <v>121</v>
      </c>
      <c r="J466">
        <v>13</v>
      </c>
      <c r="K466">
        <f t="shared" si="36"/>
        <v>13</v>
      </c>
      <c r="L466" t="s">
        <v>236</v>
      </c>
      <c r="M466" t="str">
        <f t="shared" si="37"/>
        <v>100</v>
      </c>
      <c r="N466">
        <v>2.5</v>
      </c>
      <c r="O466" s="3">
        <f t="shared" si="38"/>
        <v>2.5</v>
      </c>
      <c r="P466" t="b">
        <v>0</v>
      </c>
      <c r="Q466" t="str" cm="1">
        <f t="array" ref="Q466">_xlfn.IFS(ISBLANK(P466),"Not Specified",OR(P466="N",P466=FALSE,P466="no",P466=0),"no",TRUE,"yes")</f>
        <v>no</v>
      </c>
      <c r="S466" t="str">
        <f t="shared" si="39"/>
        <v>Not Specified</v>
      </c>
    </row>
    <row r="467" spans="1:19">
      <c r="A467" t="s">
        <v>1020</v>
      </c>
      <c r="B467" t="s">
        <v>1021</v>
      </c>
      <c r="C467" t="s">
        <v>41</v>
      </c>
      <c r="D467" t="str" cm="1">
        <f t="array" ref="D467">_xlfn.IFS(OR(LOWER(C467)="f",LOWER(C467)="female"),"Female",TRUE,"Male")</f>
        <v>Female</v>
      </c>
      <c r="E467">
        <v>20</v>
      </c>
      <c r="F467">
        <f t="shared" si="35"/>
        <v>20</v>
      </c>
      <c r="G467" t="s">
        <v>146</v>
      </c>
      <c r="H467" t="s">
        <v>147</v>
      </c>
      <c r="I467" t="s">
        <v>58</v>
      </c>
      <c r="J467">
        <v>0</v>
      </c>
      <c r="K467">
        <f t="shared" si="36"/>
        <v>0</v>
      </c>
      <c r="L467" t="s">
        <v>116</v>
      </c>
      <c r="M467" t="str">
        <f t="shared" si="37"/>
        <v> 30</v>
      </c>
      <c r="N467">
        <v>0</v>
      </c>
      <c r="O467" s="3" t="str">
        <f t="shared" si="38"/>
        <v>Not Specified</v>
      </c>
      <c r="P467">
        <v>1</v>
      </c>
      <c r="Q467" t="str" cm="1">
        <f t="array" ref="Q467">_xlfn.IFS(ISBLANK(P467),"Not Specified",OR(P467="N",P467=FALSE,P467="no",P467=0),"no",TRUE,"yes")</f>
        <v>yes</v>
      </c>
      <c r="R467">
        <v>76</v>
      </c>
      <c r="S467">
        <f t="shared" si="39"/>
        <v>76</v>
      </c>
    </row>
    <row r="468" spans="1:19">
      <c r="A468" t="s">
        <v>1022</v>
      </c>
      <c r="B468" t="s">
        <v>1023</v>
      </c>
      <c r="C468" t="s">
        <v>46</v>
      </c>
      <c r="D468" t="str" cm="1">
        <f t="array" ref="D468">_xlfn.IFS(OR(LOWER(C468)="f",LOWER(C468)="female"),"Female",TRUE,"Male")</f>
        <v>Female</v>
      </c>
      <c r="E468">
        <v>39</v>
      </c>
      <c r="F468">
        <f t="shared" si="35"/>
        <v>39</v>
      </c>
      <c r="G468" t="s">
        <v>182</v>
      </c>
      <c r="H468" t="s">
        <v>183</v>
      </c>
      <c r="I468" t="s">
        <v>24</v>
      </c>
      <c r="J468">
        <v>11</v>
      </c>
      <c r="K468">
        <f t="shared" si="36"/>
        <v>11</v>
      </c>
      <c r="L468">
        <v>100</v>
      </c>
      <c r="M468" t="str">
        <f t="shared" si="37"/>
        <v>100</v>
      </c>
      <c r="N468">
        <v>2.8</v>
      </c>
      <c r="O468" s="3">
        <f t="shared" si="38"/>
        <v>2.8</v>
      </c>
      <c r="Q468" t="str" cm="1">
        <f t="array" ref="Q468">_xlfn.IFS(ISBLANK(P468),"Not Specified",OR(P468="N",P468=FALSE,P468="no",P468=0),"no",TRUE,"yes")</f>
        <v>Not Specified</v>
      </c>
      <c r="R468">
        <v>70</v>
      </c>
      <c r="S468">
        <f t="shared" si="39"/>
        <v>70</v>
      </c>
    </row>
    <row r="469" spans="1:19">
      <c r="A469" t="s">
        <v>1024</v>
      </c>
      <c r="B469" t="s">
        <v>1025</v>
      </c>
      <c r="C469" t="s">
        <v>41</v>
      </c>
      <c r="D469" t="str" cm="1">
        <f t="array" ref="D469">_xlfn.IFS(OR(LOWER(C469)="f",LOWER(C469)="female"),"Female",TRUE,"Male")</f>
        <v>Female</v>
      </c>
      <c r="E469">
        <v>41</v>
      </c>
      <c r="F469">
        <f t="shared" si="35"/>
        <v>41</v>
      </c>
      <c r="G469" t="s">
        <v>182</v>
      </c>
      <c r="H469" t="s">
        <v>183</v>
      </c>
      <c r="I469" t="s">
        <v>121</v>
      </c>
      <c r="J469">
        <v>19</v>
      </c>
      <c r="K469">
        <f t="shared" si="36"/>
        <v>19</v>
      </c>
      <c r="L469">
        <v>100</v>
      </c>
      <c r="M469" t="str">
        <f t="shared" si="37"/>
        <v>100</v>
      </c>
      <c r="N469">
        <v>3.8</v>
      </c>
      <c r="O469" s="3">
        <f t="shared" si="38"/>
        <v>3.8</v>
      </c>
      <c r="P469" t="s">
        <v>75</v>
      </c>
      <c r="Q469" t="str" cm="1">
        <f t="array" ref="Q469">_xlfn.IFS(ISBLANK(P469),"Not Specified",OR(P469="N",P469=FALSE,P469="no",P469=0),"no",TRUE,"yes")</f>
        <v>yes</v>
      </c>
      <c r="R469" s="5">
        <v>0.71</v>
      </c>
      <c r="S469">
        <f t="shared" si="39"/>
        <v>71</v>
      </c>
    </row>
    <row r="470" spans="1:19">
      <c r="A470" t="s">
        <v>1026</v>
      </c>
      <c r="B470" t="s">
        <v>1027</v>
      </c>
      <c r="C470" t="s">
        <v>104</v>
      </c>
      <c r="D470" t="str" cm="1">
        <f t="array" ref="D470">_xlfn.IFS(OR(LOWER(C470)="f",LOWER(C470)="female"),"Female",TRUE,"Male")</f>
        <v>Male</v>
      </c>
      <c r="E470">
        <v>59</v>
      </c>
      <c r="F470">
        <f t="shared" si="35"/>
        <v>59</v>
      </c>
      <c r="G470" t="s">
        <v>135</v>
      </c>
      <c r="H470" t="s">
        <v>29</v>
      </c>
      <c r="I470" t="s">
        <v>30</v>
      </c>
      <c r="J470">
        <v>30</v>
      </c>
      <c r="K470">
        <f t="shared" si="36"/>
        <v>30</v>
      </c>
      <c r="L470" t="s">
        <v>116</v>
      </c>
      <c r="M470" t="str">
        <f t="shared" si="37"/>
        <v> 30</v>
      </c>
      <c r="N470">
        <v>4.3</v>
      </c>
      <c r="O470" s="3">
        <f t="shared" si="38"/>
        <v>4.3</v>
      </c>
      <c r="P470">
        <v>1</v>
      </c>
      <c r="Q470" t="str" cm="1">
        <f t="array" ref="Q470">_xlfn.IFS(ISBLANK(P470),"Not Specified",OR(P470="N",P470=FALSE,P470="no",P470=0),"no",TRUE,"yes")</f>
        <v>yes</v>
      </c>
      <c r="R470" s="5">
        <v>0.83</v>
      </c>
      <c r="S470">
        <f t="shared" si="39"/>
        <v>83</v>
      </c>
    </row>
    <row r="471" spans="1:19">
      <c r="A471" t="s">
        <v>1028</v>
      </c>
      <c r="B471" t="s">
        <v>1029</v>
      </c>
      <c r="C471" t="s">
        <v>84</v>
      </c>
      <c r="D471" t="str" cm="1">
        <f t="array" ref="D471">_xlfn.IFS(OR(LOWER(C471)="f",LOWER(C471)="female"),"Female",TRUE,"Male")</f>
        <v>Female</v>
      </c>
      <c r="E471">
        <v>45</v>
      </c>
      <c r="F471">
        <f t="shared" si="35"/>
        <v>45</v>
      </c>
      <c r="G471" t="s">
        <v>28</v>
      </c>
      <c r="H471" t="s">
        <v>29</v>
      </c>
      <c r="I471" t="s">
        <v>24</v>
      </c>
      <c r="J471">
        <v>8</v>
      </c>
      <c r="K471">
        <f t="shared" si="36"/>
        <v>8</v>
      </c>
      <c r="L471">
        <v>40</v>
      </c>
      <c r="M471" t="str">
        <f t="shared" si="37"/>
        <v>40</v>
      </c>
      <c r="N471">
        <v>0</v>
      </c>
      <c r="O471" s="3" t="str">
        <f t="shared" si="38"/>
        <v>Not Specified</v>
      </c>
      <c r="P471">
        <v>0</v>
      </c>
      <c r="Q471" t="str" cm="1">
        <f t="array" ref="Q471">_xlfn.IFS(ISBLANK(P471),"Not Specified",OR(P471="N",P471=FALSE,P471="no",P471=0),"no",TRUE,"yes")</f>
        <v>no</v>
      </c>
      <c r="R471">
        <v>78</v>
      </c>
      <c r="S471">
        <f t="shared" si="39"/>
        <v>78</v>
      </c>
    </row>
    <row r="472" spans="1:19">
      <c r="A472" t="s">
        <v>1030</v>
      </c>
      <c r="B472" t="s">
        <v>1031</v>
      </c>
      <c r="C472" t="s">
        <v>68</v>
      </c>
      <c r="D472" t="str" cm="1">
        <f t="array" ref="D472">_xlfn.IFS(OR(LOWER(C472)="f",LOWER(C472)="female"),"Female",TRUE,"Male")</f>
        <v>Male</v>
      </c>
      <c r="E472">
        <v>22</v>
      </c>
      <c r="F472">
        <f t="shared" si="35"/>
        <v>22</v>
      </c>
      <c r="G472" t="s">
        <v>56</v>
      </c>
      <c r="H472" t="s">
        <v>57</v>
      </c>
      <c r="I472" t="s">
        <v>85</v>
      </c>
      <c r="J472">
        <v>0</v>
      </c>
      <c r="K472">
        <f t="shared" si="36"/>
        <v>0</v>
      </c>
      <c r="L472">
        <v>40</v>
      </c>
      <c r="M472" t="str">
        <f t="shared" si="37"/>
        <v>40</v>
      </c>
      <c r="N472">
        <v>1.3</v>
      </c>
      <c r="O472" s="3">
        <f t="shared" si="38"/>
        <v>1.3</v>
      </c>
      <c r="P472">
        <v>1</v>
      </c>
      <c r="Q472" t="str" cm="1">
        <f t="array" ref="Q472">_xlfn.IFS(ISBLANK(P472),"Not Specified",OR(P472="N",P472=FALSE,P472="no",P472=0),"no",TRUE,"yes")</f>
        <v>yes</v>
      </c>
      <c r="R472" s="5">
        <v>0.78</v>
      </c>
      <c r="S472">
        <f t="shared" si="39"/>
        <v>78</v>
      </c>
    </row>
    <row r="473" spans="1:19">
      <c r="A473" t="s">
        <v>1032</v>
      </c>
      <c r="B473" t="s">
        <v>1033</v>
      </c>
      <c r="C473" t="s">
        <v>21</v>
      </c>
      <c r="D473" t="str" cm="1">
        <f t="array" ref="D473">_xlfn.IFS(OR(LOWER(C473)="f",LOWER(C473)="female"),"Female",TRUE,"Male")</f>
        <v>Female</v>
      </c>
      <c r="E473">
        <v>48</v>
      </c>
      <c r="F473">
        <f t="shared" si="35"/>
        <v>48</v>
      </c>
      <c r="G473" t="s">
        <v>100</v>
      </c>
      <c r="H473" t="s">
        <v>101</v>
      </c>
      <c r="I473" t="s">
        <v>30</v>
      </c>
      <c r="J473">
        <v>7</v>
      </c>
      <c r="K473">
        <f t="shared" si="36"/>
        <v>7</v>
      </c>
      <c r="L473">
        <v>50</v>
      </c>
      <c r="M473" t="str">
        <f t="shared" si="37"/>
        <v>50</v>
      </c>
      <c r="N473">
        <v>4.7</v>
      </c>
      <c r="O473" s="3">
        <f t="shared" si="38"/>
        <v>4.7</v>
      </c>
      <c r="P473" t="s">
        <v>81</v>
      </c>
      <c r="Q473" t="str" cm="1">
        <f t="array" ref="Q473">_xlfn.IFS(ISBLANK(P473),"Not Specified",OR(P473="N",P473=FALSE,P473="no",P473=0),"no",TRUE,"yes")</f>
        <v>yes</v>
      </c>
      <c r="R473" s="5">
        <v>0.6</v>
      </c>
      <c r="S473">
        <f t="shared" si="39"/>
        <v>60</v>
      </c>
    </row>
    <row r="474" spans="1:19">
      <c r="A474" t="s">
        <v>1034</v>
      </c>
      <c r="B474" t="s">
        <v>1035</v>
      </c>
      <c r="C474" t="s">
        <v>68</v>
      </c>
      <c r="D474" t="str" cm="1">
        <f t="array" ref="D474">_xlfn.IFS(OR(LOWER(C474)="f",LOWER(C474)="female"),"Female",TRUE,"Male")</f>
        <v>Male</v>
      </c>
      <c r="E474">
        <v>36</v>
      </c>
      <c r="F474">
        <f t="shared" si="35"/>
        <v>36</v>
      </c>
      <c r="G474" t="s">
        <v>142</v>
      </c>
      <c r="H474" t="s">
        <v>143</v>
      </c>
      <c r="I474" t="s">
        <v>24</v>
      </c>
      <c r="J474">
        <v>11</v>
      </c>
      <c r="K474">
        <f t="shared" si="36"/>
        <v>11</v>
      </c>
      <c r="L474" t="s">
        <v>43</v>
      </c>
      <c r="M474" t="str">
        <f t="shared" si="37"/>
        <v>40</v>
      </c>
      <c r="N474">
        <v>1.3</v>
      </c>
      <c r="O474" s="3">
        <f t="shared" si="38"/>
        <v>1.3</v>
      </c>
      <c r="P474" t="b">
        <v>1</v>
      </c>
      <c r="Q474" t="str" cm="1">
        <f t="array" ref="Q474">_xlfn.IFS(ISBLANK(P474),"Not Specified",OR(P474="N",P474=FALSE,P474="no",P474=0),"no",TRUE,"yes")</f>
        <v>yes</v>
      </c>
      <c r="S474" t="str">
        <f t="shared" si="39"/>
        <v>Not Specified</v>
      </c>
    </row>
    <row r="475" spans="1:19">
      <c r="A475" t="s">
        <v>1036</v>
      </c>
      <c r="B475" t="s">
        <v>1037</v>
      </c>
      <c r="C475" t="s">
        <v>27</v>
      </c>
      <c r="D475" t="str" cm="1">
        <f t="array" ref="D475">_xlfn.IFS(OR(LOWER(C475)="f",LOWER(C475)="female"),"Female",TRUE,"Male")</f>
        <v>Female</v>
      </c>
      <c r="E475">
        <v>57</v>
      </c>
      <c r="F475">
        <f t="shared" si="35"/>
        <v>57</v>
      </c>
      <c r="G475" t="s">
        <v>182</v>
      </c>
      <c r="H475" t="s">
        <v>183</v>
      </c>
      <c r="I475" t="s">
        <v>24</v>
      </c>
      <c r="K475" t="str">
        <f t="shared" si="36"/>
        <v>Not Specified</v>
      </c>
      <c r="L475">
        <v>75</v>
      </c>
      <c r="M475" t="str">
        <f t="shared" si="37"/>
        <v>75</v>
      </c>
      <c r="N475">
        <v>4.8</v>
      </c>
      <c r="O475" s="3">
        <f t="shared" si="38"/>
        <v>4.8</v>
      </c>
      <c r="P475">
        <v>1</v>
      </c>
      <c r="Q475" t="str" cm="1">
        <f t="array" ref="Q475">_xlfn.IFS(ISBLANK(P475),"Not Specified",OR(P475="N",P475=FALSE,P475="no",P475=0),"no",TRUE,"yes")</f>
        <v>yes</v>
      </c>
      <c r="S475" t="str">
        <f t="shared" si="39"/>
        <v>Not Specified</v>
      </c>
    </row>
    <row r="476" spans="1:19">
      <c r="A476" t="s">
        <v>1038</v>
      </c>
      <c r="B476" t="s">
        <v>1039</v>
      </c>
      <c r="C476" t="s">
        <v>68</v>
      </c>
      <c r="D476" t="str" cm="1">
        <f t="array" ref="D476">_xlfn.IFS(OR(LOWER(C476)="f",LOWER(C476)="female"),"Female",TRUE,"Male")</f>
        <v>Male</v>
      </c>
      <c r="E476">
        <v>42</v>
      </c>
      <c r="F476">
        <f t="shared" si="35"/>
        <v>42</v>
      </c>
      <c r="G476" t="s">
        <v>65</v>
      </c>
      <c r="H476" t="s">
        <v>29</v>
      </c>
      <c r="I476" t="s">
        <v>80</v>
      </c>
      <c r="J476">
        <v>14</v>
      </c>
      <c r="K476">
        <f t="shared" si="36"/>
        <v>14</v>
      </c>
      <c r="L476" t="s">
        <v>52</v>
      </c>
      <c r="M476" t="str">
        <f t="shared" si="37"/>
        <v>30</v>
      </c>
      <c r="N476">
        <v>1.3</v>
      </c>
      <c r="O476" s="3">
        <f t="shared" si="38"/>
        <v>1.3</v>
      </c>
      <c r="P476">
        <v>0</v>
      </c>
      <c r="Q476" t="str" cm="1">
        <f t="array" ref="Q476">_xlfn.IFS(ISBLANK(P476),"Not Specified",OR(P476="N",P476=FALSE,P476="no",P476=0),"no",TRUE,"yes")</f>
        <v>no</v>
      </c>
      <c r="R476" s="5">
        <v>0.94</v>
      </c>
      <c r="S476">
        <f t="shared" si="39"/>
        <v>94</v>
      </c>
    </row>
    <row r="477" spans="1:19">
      <c r="A477" t="s">
        <v>1040</v>
      </c>
      <c r="B477" t="s">
        <v>1041</v>
      </c>
      <c r="C477" t="s">
        <v>55</v>
      </c>
      <c r="D477" t="str" cm="1">
        <f t="array" ref="D477">_xlfn.IFS(OR(LOWER(C477)="f",LOWER(C477)="female"),"Female",TRUE,"Male")</f>
        <v>Male</v>
      </c>
      <c r="E477">
        <v>31</v>
      </c>
      <c r="F477">
        <f t="shared" si="35"/>
        <v>31</v>
      </c>
      <c r="G477" t="s">
        <v>56</v>
      </c>
      <c r="H477" t="s">
        <v>57</v>
      </c>
      <c r="I477" t="s">
        <v>85</v>
      </c>
      <c r="J477">
        <v>11</v>
      </c>
      <c r="K477">
        <f t="shared" si="36"/>
        <v>11</v>
      </c>
      <c r="L477" t="s">
        <v>71</v>
      </c>
      <c r="M477" t="str">
        <f t="shared" si="37"/>
        <v>50</v>
      </c>
      <c r="N477">
        <v>4.3</v>
      </c>
      <c r="O477" s="3">
        <f t="shared" si="38"/>
        <v>4.3</v>
      </c>
      <c r="P477">
        <v>0</v>
      </c>
      <c r="Q477" t="str" cm="1">
        <f t="array" ref="Q477">_xlfn.IFS(ISBLANK(P477),"Not Specified",OR(P477="N",P477=FALSE,P477="no",P477=0),"no",TRUE,"yes")</f>
        <v>no</v>
      </c>
      <c r="R477">
        <v>62</v>
      </c>
      <c r="S477">
        <f t="shared" si="39"/>
        <v>62</v>
      </c>
    </row>
    <row r="478" spans="1:19">
      <c r="A478" t="s">
        <v>1042</v>
      </c>
      <c r="B478" t="s">
        <v>1043</v>
      </c>
      <c r="C478" t="s">
        <v>99</v>
      </c>
      <c r="D478" t="str" cm="1">
        <f t="array" ref="D478">_xlfn.IFS(OR(LOWER(C478)="f",LOWER(C478)="female"),"Female",TRUE,"Male")</f>
        <v>Male</v>
      </c>
      <c r="E478">
        <v>52</v>
      </c>
      <c r="F478">
        <f t="shared" si="35"/>
        <v>52</v>
      </c>
      <c r="G478" t="s">
        <v>197</v>
      </c>
      <c r="H478" t="s">
        <v>79</v>
      </c>
      <c r="I478" t="s">
        <v>85</v>
      </c>
      <c r="J478">
        <v>31</v>
      </c>
      <c r="K478">
        <f t="shared" si="36"/>
        <v>31</v>
      </c>
      <c r="L478">
        <v>30</v>
      </c>
      <c r="M478" t="str">
        <f t="shared" si="37"/>
        <v>30</v>
      </c>
      <c r="O478" s="3" t="str">
        <f t="shared" si="38"/>
        <v>Not Specified</v>
      </c>
      <c r="P478">
        <v>1</v>
      </c>
      <c r="Q478" t="str" cm="1">
        <f t="array" ref="Q478">_xlfn.IFS(ISBLANK(P478),"Not Specified",OR(P478="N",P478=FALSE,P478="no",P478=0),"no",TRUE,"yes")</f>
        <v>yes</v>
      </c>
      <c r="S478" t="str">
        <f t="shared" si="39"/>
        <v>Not Specified</v>
      </c>
    </row>
    <row r="479" spans="1:19">
      <c r="A479" t="s">
        <v>1044</v>
      </c>
      <c r="B479" t="s">
        <v>1045</v>
      </c>
      <c r="C479" t="s">
        <v>99</v>
      </c>
      <c r="D479" t="str" cm="1">
        <f t="array" ref="D479">_xlfn.IFS(OR(LOWER(C479)="f",LOWER(C479)="female"),"Female",TRUE,"Male")</f>
        <v>Male</v>
      </c>
      <c r="E479">
        <v>56</v>
      </c>
      <c r="F479">
        <f t="shared" si="35"/>
        <v>56</v>
      </c>
      <c r="G479" t="s">
        <v>49</v>
      </c>
      <c r="H479" t="s">
        <v>50</v>
      </c>
      <c r="I479" t="s">
        <v>96</v>
      </c>
      <c r="J479">
        <v>16</v>
      </c>
      <c r="K479">
        <f t="shared" si="36"/>
        <v>16</v>
      </c>
      <c r="L479" t="s">
        <v>116</v>
      </c>
      <c r="M479" t="str">
        <f t="shared" si="37"/>
        <v> 30</v>
      </c>
      <c r="N479">
        <v>0</v>
      </c>
      <c r="O479" s="3" t="str">
        <f t="shared" si="38"/>
        <v>Not Specified</v>
      </c>
      <c r="P479" t="s">
        <v>75</v>
      </c>
      <c r="Q479" t="str" cm="1">
        <f t="array" ref="Q479">_xlfn.IFS(ISBLANK(P479),"Not Specified",OR(P479="N",P479=FALSE,P479="no",P479=0),"no",TRUE,"yes")</f>
        <v>yes</v>
      </c>
      <c r="S479" t="str">
        <f t="shared" si="39"/>
        <v>Not Specified</v>
      </c>
    </row>
    <row r="480" spans="1:19">
      <c r="A480" t="s">
        <v>1046</v>
      </c>
      <c r="B480" t="s">
        <v>1047</v>
      </c>
      <c r="C480" t="s">
        <v>84</v>
      </c>
      <c r="D480" t="str" cm="1">
        <f t="array" ref="D480">_xlfn.IFS(OR(LOWER(C480)="f",LOWER(C480)="female"),"Female",TRUE,"Male")</f>
        <v>Female</v>
      </c>
      <c r="E480">
        <v>24</v>
      </c>
      <c r="F480">
        <f t="shared" si="35"/>
        <v>24</v>
      </c>
      <c r="G480" t="s">
        <v>49</v>
      </c>
      <c r="H480" t="s">
        <v>50</v>
      </c>
      <c r="I480" t="s">
        <v>96</v>
      </c>
      <c r="J480">
        <v>6</v>
      </c>
      <c r="K480">
        <f t="shared" si="36"/>
        <v>6</v>
      </c>
      <c r="L480">
        <v>30</v>
      </c>
      <c r="M480" t="str">
        <f t="shared" si="37"/>
        <v>30</v>
      </c>
      <c r="N480">
        <v>0</v>
      </c>
      <c r="O480" s="3" t="str">
        <f t="shared" si="38"/>
        <v>Not Specified</v>
      </c>
      <c r="P480" t="s">
        <v>75</v>
      </c>
      <c r="Q480" t="str" cm="1">
        <f t="array" ref="Q480">_xlfn.IFS(ISBLANK(P480),"Not Specified",OR(P480="N",P480=FALSE,P480="no",P480=0),"no",TRUE,"yes")</f>
        <v>yes</v>
      </c>
      <c r="R480" s="5">
        <v>0.84</v>
      </c>
      <c r="S480">
        <f t="shared" si="39"/>
        <v>84</v>
      </c>
    </row>
    <row r="481" spans="1:19">
      <c r="A481" t="s">
        <v>1048</v>
      </c>
      <c r="B481" t="s">
        <v>1049</v>
      </c>
      <c r="C481" t="s">
        <v>34</v>
      </c>
      <c r="D481" t="str" cm="1">
        <f t="array" ref="D481">_xlfn.IFS(OR(LOWER(C481)="f",LOWER(C481)="female"),"Female",TRUE,"Male")</f>
        <v>Male</v>
      </c>
      <c r="E481">
        <v>48</v>
      </c>
      <c r="F481">
        <f t="shared" si="35"/>
        <v>48</v>
      </c>
      <c r="G481" t="s">
        <v>135</v>
      </c>
      <c r="H481" t="s">
        <v>29</v>
      </c>
      <c r="I481" t="s">
        <v>96</v>
      </c>
      <c r="J481">
        <v>21</v>
      </c>
      <c r="K481">
        <f t="shared" si="36"/>
        <v>21</v>
      </c>
      <c r="L481">
        <v>75</v>
      </c>
      <c r="M481" t="str">
        <f t="shared" si="37"/>
        <v>75</v>
      </c>
      <c r="N481">
        <v>2.7</v>
      </c>
      <c r="O481" s="3">
        <f t="shared" si="38"/>
        <v>2.7</v>
      </c>
      <c r="P481">
        <v>1</v>
      </c>
      <c r="Q481" t="str" cm="1">
        <f t="array" ref="Q481">_xlfn.IFS(ISBLANK(P481),"Not Specified",OR(P481="N",P481=FALSE,P481="no",P481=0),"no",TRUE,"yes")</f>
        <v>yes</v>
      </c>
      <c r="S481" t="str">
        <f t="shared" si="39"/>
        <v>Not Specified</v>
      </c>
    </row>
    <row r="482" spans="1:19">
      <c r="A482" t="s">
        <v>1050</v>
      </c>
      <c r="B482" t="s">
        <v>1051</v>
      </c>
      <c r="C482" t="s">
        <v>104</v>
      </c>
      <c r="D482" t="str" cm="1">
        <f t="array" ref="D482">_xlfn.IFS(OR(LOWER(C482)="f",LOWER(C482)="female"),"Female",TRUE,"Male")</f>
        <v>Male</v>
      </c>
      <c r="E482">
        <v>59</v>
      </c>
      <c r="F482">
        <f t="shared" si="35"/>
        <v>59</v>
      </c>
      <c r="G482" t="s">
        <v>142</v>
      </c>
      <c r="H482" t="s">
        <v>143</v>
      </c>
      <c r="I482" t="s">
        <v>85</v>
      </c>
      <c r="J482">
        <v>13</v>
      </c>
      <c r="K482">
        <f t="shared" si="36"/>
        <v>13</v>
      </c>
      <c r="L482">
        <v>40</v>
      </c>
      <c r="M482" t="str">
        <f t="shared" si="37"/>
        <v>40</v>
      </c>
      <c r="N482">
        <v>2.4</v>
      </c>
      <c r="O482" s="3">
        <f t="shared" si="38"/>
        <v>2.4</v>
      </c>
      <c r="P482" t="s">
        <v>166</v>
      </c>
      <c r="Q482" t="str" cm="1">
        <f t="array" ref="Q482">_xlfn.IFS(ISBLANK(P482),"Not Specified",OR(P482="N",P482=FALSE,P482="no",P482=0),"no",TRUE,"yes")</f>
        <v>no</v>
      </c>
      <c r="R482">
        <v>65</v>
      </c>
      <c r="S482">
        <f t="shared" si="39"/>
        <v>65</v>
      </c>
    </row>
    <row r="483" spans="1:19">
      <c r="A483" t="s">
        <v>1052</v>
      </c>
      <c r="B483" t="s">
        <v>1053</v>
      </c>
      <c r="C483" t="s">
        <v>68</v>
      </c>
      <c r="D483" t="str" cm="1">
        <f t="array" ref="D483">_xlfn.IFS(OR(LOWER(C483)="f",LOWER(C483)="female"),"Female",TRUE,"Male")</f>
        <v>Male</v>
      </c>
      <c r="F483" t="str">
        <f t="shared" si="35"/>
        <v>Not Specified</v>
      </c>
      <c r="G483" t="s">
        <v>74</v>
      </c>
      <c r="H483" t="s">
        <v>29</v>
      </c>
      <c r="I483" t="s">
        <v>42</v>
      </c>
      <c r="K483" t="str">
        <f t="shared" si="36"/>
        <v>Not Specified</v>
      </c>
      <c r="L483">
        <v>40</v>
      </c>
      <c r="M483" t="str">
        <f t="shared" si="37"/>
        <v>40</v>
      </c>
      <c r="N483">
        <v>1.9</v>
      </c>
      <c r="O483" s="3">
        <f t="shared" si="38"/>
        <v>1.9</v>
      </c>
      <c r="P483">
        <v>1</v>
      </c>
      <c r="Q483" t="str" cm="1">
        <f t="array" ref="Q483">_xlfn.IFS(ISBLANK(P483),"Not Specified",OR(P483="N",P483=FALSE,P483="no",P483=0),"no",TRUE,"yes")</f>
        <v>yes</v>
      </c>
      <c r="R483" s="5">
        <v>0.94</v>
      </c>
      <c r="S483">
        <f t="shared" si="39"/>
        <v>94</v>
      </c>
    </row>
    <row r="484" spans="1:19">
      <c r="A484" t="s">
        <v>1054</v>
      </c>
      <c r="B484" t="s">
        <v>1055</v>
      </c>
      <c r="C484" t="s">
        <v>46</v>
      </c>
      <c r="D484" t="str" cm="1">
        <f t="array" ref="D484">_xlfn.IFS(OR(LOWER(C484)="f",LOWER(C484)="female"),"Female",TRUE,"Male")</f>
        <v>Female</v>
      </c>
      <c r="F484" t="str">
        <f t="shared" si="35"/>
        <v>Not Specified</v>
      </c>
      <c r="G484" t="s">
        <v>49</v>
      </c>
      <c r="H484" t="s">
        <v>50</v>
      </c>
      <c r="I484" t="s">
        <v>30</v>
      </c>
      <c r="J484">
        <v>11</v>
      </c>
      <c r="K484">
        <f t="shared" si="36"/>
        <v>11</v>
      </c>
      <c r="L484" t="s">
        <v>128</v>
      </c>
      <c r="M484" t="str">
        <f t="shared" si="37"/>
        <v>20</v>
      </c>
      <c r="N484">
        <v>3.6</v>
      </c>
      <c r="O484" s="3">
        <f t="shared" si="38"/>
        <v>3.6</v>
      </c>
      <c r="P484" t="s">
        <v>166</v>
      </c>
      <c r="Q484" t="str" cm="1">
        <f t="array" ref="Q484">_xlfn.IFS(ISBLANK(P484),"Not Specified",OR(P484="N",P484=FALSE,P484="no",P484=0),"no",TRUE,"yes")</f>
        <v>no</v>
      </c>
      <c r="R484" s="5">
        <v>0.69</v>
      </c>
      <c r="S484">
        <f t="shared" si="39"/>
        <v>69</v>
      </c>
    </row>
    <row r="485" spans="1:19">
      <c r="A485" t="s">
        <v>1056</v>
      </c>
      <c r="B485" t="s">
        <v>1057</v>
      </c>
      <c r="C485" t="s">
        <v>55</v>
      </c>
      <c r="D485" t="str" cm="1">
        <f t="array" ref="D485">_xlfn.IFS(OR(LOWER(C485)="f",LOWER(C485)="female"),"Female",TRUE,"Male")</f>
        <v>Male</v>
      </c>
      <c r="E485">
        <v>25</v>
      </c>
      <c r="F485">
        <f t="shared" si="35"/>
        <v>25</v>
      </c>
      <c r="G485" t="s">
        <v>49</v>
      </c>
      <c r="H485" t="s">
        <v>50</v>
      </c>
      <c r="I485" t="s">
        <v>30</v>
      </c>
      <c r="J485">
        <v>0</v>
      </c>
      <c r="K485">
        <f t="shared" si="36"/>
        <v>0</v>
      </c>
      <c r="L485">
        <v>50</v>
      </c>
      <c r="M485" t="str">
        <f t="shared" si="37"/>
        <v>50</v>
      </c>
      <c r="N485">
        <v>2.9</v>
      </c>
      <c r="O485" s="3">
        <f t="shared" si="38"/>
        <v>2.9</v>
      </c>
      <c r="P485" t="s">
        <v>75</v>
      </c>
      <c r="Q485" t="str" cm="1">
        <f t="array" ref="Q485">_xlfn.IFS(ISBLANK(P485),"Not Specified",OR(P485="N",P485=FALSE,P485="no",P485=0),"no",TRUE,"yes")</f>
        <v>yes</v>
      </c>
      <c r="R485" s="5">
        <v>0.65</v>
      </c>
      <c r="S485">
        <f t="shared" si="39"/>
        <v>65</v>
      </c>
    </row>
    <row r="486" spans="1:19">
      <c r="A486" t="s">
        <v>1058</v>
      </c>
      <c r="B486" t="s">
        <v>1059</v>
      </c>
      <c r="C486" t="s">
        <v>34</v>
      </c>
      <c r="D486" t="str" cm="1">
        <f t="array" ref="D486">_xlfn.IFS(OR(LOWER(C486)="f",LOWER(C486)="female"),"Female",TRUE,"Male")</f>
        <v>Male</v>
      </c>
      <c r="E486">
        <v>31</v>
      </c>
      <c r="F486">
        <f t="shared" si="35"/>
        <v>31</v>
      </c>
      <c r="G486" t="s">
        <v>146</v>
      </c>
      <c r="H486" t="s">
        <v>147</v>
      </c>
      <c r="I486" t="s">
        <v>30</v>
      </c>
      <c r="J486">
        <v>2</v>
      </c>
      <c r="K486">
        <f t="shared" si="36"/>
        <v>2</v>
      </c>
      <c r="L486" t="s">
        <v>177</v>
      </c>
      <c r="M486" t="str">
        <f t="shared" si="37"/>
        <v>75</v>
      </c>
      <c r="N486">
        <v>2.8</v>
      </c>
      <c r="O486" s="3">
        <f t="shared" si="38"/>
        <v>2.8</v>
      </c>
      <c r="P486" t="b">
        <v>0</v>
      </c>
      <c r="Q486" t="str" cm="1">
        <f t="array" ref="Q486">_xlfn.IFS(ISBLANK(P486),"Not Specified",OR(P486="N",P486=FALSE,P486="no",P486=0),"no",TRUE,"yes")</f>
        <v>no</v>
      </c>
      <c r="R486" s="5">
        <v>0.6</v>
      </c>
      <c r="S486">
        <f t="shared" si="39"/>
        <v>60</v>
      </c>
    </row>
    <row r="487" spans="1:19">
      <c r="A487" t="s">
        <v>1060</v>
      </c>
      <c r="B487" t="s">
        <v>1061</v>
      </c>
      <c r="C487" t="s">
        <v>68</v>
      </c>
      <c r="D487" t="str" cm="1">
        <f t="array" ref="D487">_xlfn.IFS(OR(LOWER(C487)="f",LOWER(C487)="female"),"Female",TRUE,"Male")</f>
        <v>Male</v>
      </c>
      <c r="E487">
        <v>40</v>
      </c>
      <c r="F487">
        <f t="shared" si="35"/>
        <v>40</v>
      </c>
      <c r="G487" t="s">
        <v>69</v>
      </c>
      <c r="H487" t="s">
        <v>70</v>
      </c>
      <c r="I487" t="s">
        <v>96</v>
      </c>
      <c r="J487">
        <v>12</v>
      </c>
      <c r="K487">
        <f t="shared" si="36"/>
        <v>12</v>
      </c>
      <c r="L487">
        <v>75</v>
      </c>
      <c r="M487" t="str">
        <f t="shared" si="37"/>
        <v>75</v>
      </c>
      <c r="N487">
        <v>2.6</v>
      </c>
      <c r="O487" s="3">
        <f t="shared" si="38"/>
        <v>2.6</v>
      </c>
      <c r="P487" t="b">
        <v>0</v>
      </c>
      <c r="Q487" t="str" cm="1">
        <f t="array" ref="Q487">_xlfn.IFS(ISBLANK(P487),"Not Specified",OR(P487="N",P487=FALSE,P487="no",P487=0),"no",TRUE,"yes")</f>
        <v>no</v>
      </c>
      <c r="S487" t="str">
        <f t="shared" si="39"/>
        <v>Not Specified</v>
      </c>
    </row>
    <row r="488" spans="1:19">
      <c r="A488" t="s">
        <v>1062</v>
      </c>
      <c r="B488" t="s">
        <v>682</v>
      </c>
      <c r="C488" t="s">
        <v>21</v>
      </c>
      <c r="D488" t="str" cm="1">
        <f t="array" ref="D488">_xlfn.IFS(OR(LOWER(C488)="f",LOWER(C488)="female"),"Female",TRUE,"Male")</f>
        <v>Female</v>
      </c>
      <c r="E488">
        <v>48</v>
      </c>
      <c r="F488">
        <f t="shared" si="35"/>
        <v>48</v>
      </c>
      <c r="G488" t="s">
        <v>131</v>
      </c>
      <c r="H488" t="s">
        <v>132</v>
      </c>
      <c r="I488" t="s">
        <v>24</v>
      </c>
      <c r="J488">
        <v>13</v>
      </c>
      <c r="K488">
        <f t="shared" si="36"/>
        <v>13</v>
      </c>
      <c r="L488" t="s">
        <v>236</v>
      </c>
      <c r="M488" t="str">
        <f t="shared" si="37"/>
        <v>100</v>
      </c>
      <c r="N488">
        <v>2.7</v>
      </c>
      <c r="O488" s="3">
        <f t="shared" si="38"/>
        <v>2.7</v>
      </c>
      <c r="Q488" t="str" cm="1">
        <f t="array" ref="Q488">_xlfn.IFS(ISBLANK(P488),"Not Specified",OR(P488="N",P488=FALSE,P488="no",P488=0),"no",TRUE,"yes")</f>
        <v>Not Specified</v>
      </c>
      <c r="R488" s="5">
        <v>0.62</v>
      </c>
      <c r="S488">
        <f t="shared" si="39"/>
        <v>62</v>
      </c>
    </row>
    <row r="489" spans="1:19">
      <c r="A489" t="s">
        <v>1063</v>
      </c>
      <c r="B489" t="s">
        <v>1064</v>
      </c>
      <c r="C489" t="s">
        <v>21</v>
      </c>
      <c r="D489" t="str" cm="1">
        <f t="array" ref="D489">_xlfn.IFS(OR(LOWER(C489)="f",LOWER(C489)="female"),"Female",TRUE,"Male")</f>
        <v>Female</v>
      </c>
      <c r="E489">
        <v>24</v>
      </c>
      <c r="F489">
        <f t="shared" si="35"/>
        <v>24</v>
      </c>
      <c r="G489" t="s">
        <v>160</v>
      </c>
      <c r="H489" t="s">
        <v>161</v>
      </c>
      <c r="I489" t="s">
        <v>30</v>
      </c>
      <c r="J489">
        <v>6</v>
      </c>
      <c r="K489">
        <f t="shared" si="36"/>
        <v>6</v>
      </c>
      <c r="L489">
        <v>30</v>
      </c>
      <c r="M489" t="str">
        <f t="shared" si="37"/>
        <v>30</v>
      </c>
      <c r="N489">
        <v>1.1</v>
      </c>
      <c r="O489" s="3">
        <f t="shared" si="38"/>
        <v>1.1</v>
      </c>
      <c r="P489" t="s">
        <v>75</v>
      </c>
      <c r="Q489" t="str" cm="1">
        <f t="array" ref="Q489">_xlfn.IFS(ISBLANK(P489),"Not Specified",OR(P489="N",P489=FALSE,P489="no",P489=0),"no",TRUE,"yes")</f>
        <v>yes</v>
      </c>
      <c r="S489" t="str">
        <f t="shared" si="39"/>
        <v>Not Specified</v>
      </c>
    </row>
    <row r="490" spans="1:19">
      <c r="A490" t="s">
        <v>1065</v>
      </c>
      <c r="B490" t="s">
        <v>1066</v>
      </c>
      <c r="C490" t="s">
        <v>68</v>
      </c>
      <c r="D490" t="str" cm="1">
        <f t="array" ref="D490">_xlfn.IFS(OR(LOWER(C490)="f",LOWER(C490)="female"),"Female",TRUE,"Male")</f>
        <v>Male</v>
      </c>
      <c r="E490">
        <v>33</v>
      </c>
      <c r="F490">
        <f t="shared" si="35"/>
        <v>33</v>
      </c>
      <c r="G490" t="s">
        <v>56</v>
      </c>
      <c r="H490" t="s">
        <v>57</v>
      </c>
      <c r="I490" t="s">
        <v>42</v>
      </c>
      <c r="J490">
        <v>10</v>
      </c>
      <c r="K490">
        <f t="shared" si="36"/>
        <v>10</v>
      </c>
      <c r="L490" t="s">
        <v>116</v>
      </c>
      <c r="M490" t="str">
        <f t="shared" si="37"/>
        <v> 30</v>
      </c>
      <c r="N490">
        <v>0</v>
      </c>
      <c r="O490" s="3" t="str">
        <f t="shared" si="38"/>
        <v>Not Specified</v>
      </c>
      <c r="P490" t="s">
        <v>75</v>
      </c>
      <c r="Q490" t="str" cm="1">
        <f t="array" ref="Q490">_xlfn.IFS(ISBLANK(P490),"Not Specified",OR(P490="N",P490=FALSE,P490="no",P490=0),"no",TRUE,"yes")</f>
        <v>yes</v>
      </c>
      <c r="R490" s="5">
        <v>0.89</v>
      </c>
      <c r="S490">
        <f t="shared" si="39"/>
        <v>89</v>
      </c>
    </row>
    <row r="491" spans="1:19">
      <c r="A491" t="s">
        <v>1067</v>
      </c>
      <c r="B491" t="s">
        <v>1068</v>
      </c>
      <c r="C491" t="s">
        <v>84</v>
      </c>
      <c r="D491" t="str" cm="1">
        <f t="array" ref="D491">_xlfn.IFS(OR(LOWER(C491)="f",LOWER(C491)="female"),"Female",TRUE,"Male")</f>
        <v>Female</v>
      </c>
      <c r="E491">
        <v>43</v>
      </c>
      <c r="F491">
        <f t="shared" si="35"/>
        <v>43</v>
      </c>
      <c r="G491" t="s">
        <v>114</v>
      </c>
      <c r="H491" t="s">
        <v>115</v>
      </c>
      <c r="I491" t="s">
        <v>80</v>
      </c>
      <c r="J491">
        <v>2</v>
      </c>
      <c r="K491">
        <f t="shared" si="36"/>
        <v>2</v>
      </c>
      <c r="L491" t="s">
        <v>43</v>
      </c>
      <c r="M491" t="str">
        <f t="shared" si="37"/>
        <v>40</v>
      </c>
      <c r="N491">
        <v>0</v>
      </c>
      <c r="O491" s="3" t="str">
        <f t="shared" si="38"/>
        <v>Not Specified</v>
      </c>
      <c r="P491" t="s">
        <v>75</v>
      </c>
      <c r="Q491" t="str" cm="1">
        <f t="array" ref="Q491">_xlfn.IFS(ISBLANK(P491),"Not Specified",OR(P491="N",P491=FALSE,P491="no",P491=0),"no",TRUE,"yes")</f>
        <v>yes</v>
      </c>
      <c r="R491" s="5">
        <v>0.89</v>
      </c>
      <c r="S491">
        <f t="shared" si="39"/>
        <v>89</v>
      </c>
    </row>
    <row r="492" spans="1:19">
      <c r="A492" t="s">
        <v>1069</v>
      </c>
      <c r="B492" t="s">
        <v>1070</v>
      </c>
      <c r="C492" t="s">
        <v>99</v>
      </c>
      <c r="D492" t="str" cm="1">
        <f t="array" ref="D492">_xlfn.IFS(OR(LOWER(C492)="f",LOWER(C492)="female"),"Female",TRUE,"Male")</f>
        <v>Male</v>
      </c>
      <c r="E492">
        <v>43</v>
      </c>
      <c r="F492">
        <f t="shared" si="35"/>
        <v>43</v>
      </c>
      <c r="G492" t="s">
        <v>197</v>
      </c>
      <c r="H492" t="s">
        <v>79</v>
      </c>
      <c r="I492" t="s">
        <v>24</v>
      </c>
      <c r="J492">
        <v>4</v>
      </c>
      <c r="K492">
        <f t="shared" si="36"/>
        <v>4</v>
      </c>
      <c r="L492">
        <v>50</v>
      </c>
      <c r="M492" t="str">
        <f t="shared" si="37"/>
        <v>50</v>
      </c>
      <c r="N492">
        <v>0</v>
      </c>
      <c r="O492" s="3" t="str">
        <f t="shared" si="38"/>
        <v>Not Specified</v>
      </c>
      <c r="P492" t="b">
        <v>1</v>
      </c>
      <c r="Q492" t="str" cm="1">
        <f t="array" ref="Q492">_xlfn.IFS(ISBLANK(P492),"Not Specified",OR(P492="N",P492=FALSE,P492="no",P492=0),"no",TRUE,"yes")</f>
        <v>yes</v>
      </c>
      <c r="R492" s="5">
        <v>1</v>
      </c>
      <c r="S492">
        <f t="shared" si="39"/>
        <v>100</v>
      </c>
    </row>
    <row r="493" spans="1:19">
      <c r="A493" t="s">
        <v>1071</v>
      </c>
      <c r="B493" t="s">
        <v>1072</v>
      </c>
      <c r="C493" t="s">
        <v>27</v>
      </c>
      <c r="D493" t="str" cm="1">
        <f t="array" ref="D493">_xlfn.IFS(OR(LOWER(C493)="f",LOWER(C493)="female"),"Female",TRUE,"Male")</f>
        <v>Female</v>
      </c>
      <c r="E493">
        <v>33</v>
      </c>
      <c r="F493">
        <f t="shared" si="35"/>
        <v>33</v>
      </c>
      <c r="G493" t="s">
        <v>28</v>
      </c>
      <c r="H493" t="s">
        <v>29</v>
      </c>
      <c r="I493" t="s">
        <v>42</v>
      </c>
      <c r="J493">
        <v>11</v>
      </c>
      <c r="K493">
        <f t="shared" si="36"/>
        <v>11</v>
      </c>
      <c r="M493" t="str">
        <f t="shared" si="37"/>
        <v>Not Specified</v>
      </c>
      <c r="N493">
        <v>4.6</v>
      </c>
      <c r="O493" s="3">
        <f t="shared" si="38"/>
        <v>4.6</v>
      </c>
      <c r="P493" t="s">
        <v>75</v>
      </c>
      <c r="Q493" t="str" cm="1">
        <f t="array" ref="Q493">_xlfn.IFS(ISBLANK(P493),"Not Specified",OR(P493="N",P493=FALSE,P493="no",P493=0),"no",TRUE,"yes")</f>
        <v>yes</v>
      </c>
      <c r="S493" t="str">
        <f t="shared" si="39"/>
        <v>Not Specified</v>
      </c>
    </row>
    <row r="494" spans="1:19">
      <c r="A494" t="s">
        <v>1073</v>
      </c>
      <c r="B494" t="s">
        <v>1074</v>
      </c>
      <c r="C494" t="s">
        <v>27</v>
      </c>
      <c r="D494" t="str" cm="1">
        <f t="array" ref="D494">_xlfn.IFS(OR(LOWER(C494)="f",LOWER(C494)="female"),"Female",TRUE,"Male")</f>
        <v>Female</v>
      </c>
      <c r="E494">
        <v>49</v>
      </c>
      <c r="F494">
        <f t="shared" si="35"/>
        <v>49</v>
      </c>
      <c r="G494" t="s">
        <v>131</v>
      </c>
      <c r="H494" t="s">
        <v>132</v>
      </c>
      <c r="I494" t="s">
        <v>80</v>
      </c>
      <c r="J494">
        <v>14</v>
      </c>
      <c r="K494">
        <f t="shared" si="36"/>
        <v>14</v>
      </c>
      <c r="L494">
        <v>40</v>
      </c>
      <c r="M494" t="str">
        <f t="shared" si="37"/>
        <v>40</v>
      </c>
      <c r="N494">
        <v>1.5</v>
      </c>
      <c r="O494" s="3">
        <f t="shared" si="38"/>
        <v>1.5</v>
      </c>
      <c r="Q494" t="str" cm="1">
        <f t="array" ref="Q494">_xlfn.IFS(ISBLANK(P494),"Not Specified",OR(P494="N",P494=FALSE,P494="no",P494=0),"no",TRUE,"yes")</f>
        <v>Not Specified</v>
      </c>
      <c r="R494" s="5">
        <v>0.6</v>
      </c>
      <c r="S494">
        <f t="shared" si="39"/>
        <v>60</v>
      </c>
    </row>
    <row r="495" spans="1:19">
      <c r="A495" t="s">
        <v>1075</v>
      </c>
      <c r="B495" t="s">
        <v>1076</v>
      </c>
      <c r="C495" t="s">
        <v>55</v>
      </c>
      <c r="D495" t="str" cm="1">
        <f t="array" ref="D495">_xlfn.IFS(OR(LOWER(C495)="f",LOWER(C495)="female"),"Female",TRUE,"Male")</f>
        <v>Male</v>
      </c>
      <c r="E495">
        <v>55</v>
      </c>
      <c r="F495">
        <f t="shared" si="35"/>
        <v>55</v>
      </c>
      <c r="G495" t="s">
        <v>135</v>
      </c>
      <c r="H495" t="s">
        <v>29</v>
      </c>
      <c r="I495" t="s">
        <v>80</v>
      </c>
      <c r="J495">
        <v>10</v>
      </c>
      <c r="K495">
        <f t="shared" si="36"/>
        <v>10</v>
      </c>
      <c r="L495">
        <v>40</v>
      </c>
      <c r="M495" t="str">
        <f t="shared" si="37"/>
        <v>40</v>
      </c>
      <c r="N495">
        <v>2</v>
      </c>
      <c r="O495" s="3">
        <f t="shared" si="38"/>
        <v>2</v>
      </c>
      <c r="P495" t="s">
        <v>166</v>
      </c>
      <c r="Q495" t="str" cm="1">
        <f t="array" ref="Q495">_xlfn.IFS(ISBLANK(P495),"Not Specified",OR(P495="N",P495=FALSE,P495="no",P495=0),"no",TRUE,"yes")</f>
        <v>no</v>
      </c>
      <c r="R495" s="5">
        <v>0.85</v>
      </c>
      <c r="S495">
        <f t="shared" si="39"/>
        <v>85</v>
      </c>
    </row>
    <row r="496" spans="1:19">
      <c r="A496" t="s">
        <v>1077</v>
      </c>
      <c r="B496" t="s">
        <v>1078</v>
      </c>
      <c r="C496" t="s">
        <v>41</v>
      </c>
      <c r="D496" t="str" cm="1">
        <f t="array" ref="D496">_xlfn.IFS(OR(LOWER(C496)="f",LOWER(C496)="female"),"Female",TRUE,"Male")</f>
        <v>Female</v>
      </c>
      <c r="E496">
        <v>33</v>
      </c>
      <c r="F496">
        <f t="shared" si="35"/>
        <v>33</v>
      </c>
      <c r="G496" t="s">
        <v>119</v>
      </c>
      <c r="H496" t="s">
        <v>120</v>
      </c>
      <c r="I496" t="s">
        <v>37</v>
      </c>
      <c r="J496">
        <v>3</v>
      </c>
      <c r="K496">
        <f t="shared" si="36"/>
        <v>3</v>
      </c>
      <c r="L496" t="s">
        <v>43</v>
      </c>
      <c r="M496" t="str">
        <f t="shared" si="37"/>
        <v>40</v>
      </c>
      <c r="N496">
        <v>1.6</v>
      </c>
      <c r="O496" s="3">
        <f t="shared" si="38"/>
        <v>1.6</v>
      </c>
      <c r="Q496" t="str" cm="1">
        <f t="array" ref="Q496">_xlfn.IFS(ISBLANK(P496),"Not Specified",OR(P496="N",P496=FALSE,P496="no",P496=0),"no",TRUE,"yes")</f>
        <v>Not Specified</v>
      </c>
      <c r="R496" s="5">
        <v>0.83</v>
      </c>
      <c r="S496">
        <f t="shared" si="39"/>
        <v>83</v>
      </c>
    </row>
    <row r="497" spans="1:19">
      <c r="A497" t="s">
        <v>1079</v>
      </c>
      <c r="B497" t="s">
        <v>1080</v>
      </c>
      <c r="C497" t="s">
        <v>104</v>
      </c>
      <c r="D497" t="str" cm="1">
        <f t="array" ref="D497">_xlfn.IFS(OR(LOWER(C497)="f",LOWER(C497)="female"),"Female",TRUE,"Male")</f>
        <v>Male</v>
      </c>
      <c r="E497">
        <v>32</v>
      </c>
      <c r="F497">
        <f t="shared" si="35"/>
        <v>32</v>
      </c>
      <c r="G497" t="s">
        <v>78</v>
      </c>
      <c r="H497" t="s">
        <v>79</v>
      </c>
      <c r="I497" t="s">
        <v>51</v>
      </c>
      <c r="J497">
        <v>3</v>
      </c>
      <c r="K497">
        <f t="shared" si="36"/>
        <v>3</v>
      </c>
      <c r="L497" t="s">
        <v>52</v>
      </c>
      <c r="M497" t="str">
        <f t="shared" si="37"/>
        <v>30</v>
      </c>
      <c r="N497">
        <v>1.5</v>
      </c>
      <c r="O497" s="3">
        <f t="shared" si="38"/>
        <v>1.5</v>
      </c>
      <c r="P497" t="s">
        <v>38</v>
      </c>
      <c r="Q497" t="str" cm="1">
        <f t="array" ref="Q497">_xlfn.IFS(ISBLANK(P497),"Not Specified",OR(P497="N",P497=FALSE,P497="no",P497=0),"no",TRUE,"yes")</f>
        <v>no</v>
      </c>
      <c r="R497" s="5">
        <v>0.96</v>
      </c>
      <c r="S497">
        <f t="shared" si="39"/>
        <v>96</v>
      </c>
    </row>
    <row r="498" spans="1:19">
      <c r="A498" t="s">
        <v>1081</v>
      </c>
      <c r="B498" t="s">
        <v>1082</v>
      </c>
      <c r="C498" t="s">
        <v>55</v>
      </c>
      <c r="D498" t="str" cm="1">
        <f t="array" ref="D498">_xlfn.IFS(OR(LOWER(C498)="f",LOWER(C498)="female"),"Female",TRUE,"Male")</f>
        <v>Male</v>
      </c>
      <c r="E498">
        <v>58</v>
      </c>
      <c r="F498">
        <f t="shared" si="35"/>
        <v>58</v>
      </c>
      <c r="G498" t="s">
        <v>49</v>
      </c>
      <c r="H498" t="s">
        <v>50</v>
      </c>
      <c r="I498" t="s">
        <v>24</v>
      </c>
      <c r="J498">
        <v>33</v>
      </c>
      <c r="K498">
        <f t="shared" si="36"/>
        <v>33</v>
      </c>
      <c r="M498" t="str">
        <f t="shared" si="37"/>
        <v>Not Specified</v>
      </c>
      <c r="N498">
        <v>4.1</v>
      </c>
      <c r="O498" s="3">
        <f t="shared" si="38"/>
        <v>4.1</v>
      </c>
      <c r="P498" t="s">
        <v>81</v>
      </c>
      <c r="Q498" t="str" cm="1">
        <f t="array" ref="Q498">_xlfn.IFS(ISBLANK(P498),"Not Specified",OR(P498="N",P498=FALSE,P498="no",P498=0),"no",TRUE,"yes")</f>
        <v>yes</v>
      </c>
      <c r="R498" s="5">
        <v>0.83</v>
      </c>
      <c r="S498">
        <f t="shared" si="39"/>
        <v>83</v>
      </c>
    </row>
    <row r="499" spans="1:19">
      <c r="A499" t="s">
        <v>1083</v>
      </c>
      <c r="B499" t="s">
        <v>1084</v>
      </c>
      <c r="C499" t="s">
        <v>34</v>
      </c>
      <c r="D499" t="str" cm="1">
        <f t="array" ref="D499">_xlfn.IFS(OR(LOWER(C499)="f",LOWER(C499)="female"),"Female",TRUE,"Male")</f>
        <v>Male</v>
      </c>
      <c r="E499">
        <v>49</v>
      </c>
      <c r="F499">
        <f t="shared" si="35"/>
        <v>49</v>
      </c>
      <c r="G499" t="s">
        <v>56</v>
      </c>
      <c r="H499" t="s">
        <v>57</v>
      </c>
      <c r="I499" t="s">
        <v>58</v>
      </c>
      <c r="J499">
        <v>24</v>
      </c>
      <c r="K499">
        <f t="shared" si="36"/>
        <v>24</v>
      </c>
      <c r="L499">
        <v>100</v>
      </c>
      <c r="M499" t="str">
        <f t="shared" si="37"/>
        <v>100</v>
      </c>
      <c r="N499">
        <v>4.7</v>
      </c>
      <c r="O499" s="3">
        <f t="shared" si="38"/>
        <v>4.7</v>
      </c>
      <c r="P499">
        <v>0</v>
      </c>
      <c r="Q499" t="str" cm="1">
        <f t="array" ref="Q499">_xlfn.IFS(ISBLANK(P499),"Not Specified",OR(P499="N",P499=FALSE,P499="no",P499=0),"no",TRUE,"yes")</f>
        <v>no</v>
      </c>
      <c r="R499" s="5">
        <v>0.6</v>
      </c>
      <c r="S499">
        <f t="shared" si="39"/>
        <v>60</v>
      </c>
    </row>
    <row r="500" spans="1:19">
      <c r="A500" t="s">
        <v>1085</v>
      </c>
      <c r="B500" t="s">
        <v>1086</v>
      </c>
      <c r="C500" t="s">
        <v>84</v>
      </c>
      <c r="D500" t="str" cm="1">
        <f t="array" ref="D500">_xlfn.IFS(OR(LOWER(C500)="f",LOWER(C500)="female"),"Female",TRUE,"Male")</f>
        <v>Female</v>
      </c>
      <c r="E500">
        <v>22</v>
      </c>
      <c r="F500">
        <f t="shared" si="35"/>
        <v>22</v>
      </c>
      <c r="G500" t="s">
        <v>131</v>
      </c>
      <c r="H500" t="s">
        <v>132</v>
      </c>
      <c r="I500" t="s">
        <v>80</v>
      </c>
      <c r="J500">
        <v>3</v>
      </c>
      <c r="K500">
        <f t="shared" si="36"/>
        <v>3</v>
      </c>
      <c r="L500" t="s">
        <v>31</v>
      </c>
      <c r="M500" t="str">
        <f t="shared" si="37"/>
        <v> 100</v>
      </c>
      <c r="N500">
        <v>3.6</v>
      </c>
      <c r="O500" s="3">
        <f t="shared" si="38"/>
        <v>3.6</v>
      </c>
      <c r="P500">
        <v>1</v>
      </c>
      <c r="Q500" t="str" cm="1">
        <f t="array" ref="Q500">_xlfn.IFS(ISBLANK(P500),"Not Specified",OR(P500="N",P500=FALSE,P500="no",P500=0),"no",TRUE,"yes")</f>
        <v>yes</v>
      </c>
      <c r="R500" s="5">
        <v>0.78</v>
      </c>
      <c r="S500">
        <f t="shared" si="39"/>
        <v>78</v>
      </c>
    </row>
    <row r="501" spans="1:19">
      <c r="A501" t="s">
        <v>1087</v>
      </c>
      <c r="B501" t="s">
        <v>1088</v>
      </c>
      <c r="C501" t="s">
        <v>21</v>
      </c>
      <c r="D501" t="str" cm="1">
        <f t="array" ref="D501">_xlfn.IFS(OR(LOWER(C501)="f",LOWER(C501)="female"),"Female",TRUE,"Male")</f>
        <v>Female</v>
      </c>
      <c r="E501">
        <v>40</v>
      </c>
      <c r="F501">
        <f t="shared" si="35"/>
        <v>40</v>
      </c>
      <c r="G501" t="s">
        <v>146</v>
      </c>
      <c r="H501" t="s">
        <v>147</v>
      </c>
      <c r="I501" t="s">
        <v>42</v>
      </c>
      <c r="J501">
        <v>11</v>
      </c>
      <c r="K501">
        <f t="shared" si="36"/>
        <v>11</v>
      </c>
      <c r="L501" t="s">
        <v>128</v>
      </c>
      <c r="M501" t="str">
        <f t="shared" si="37"/>
        <v>20</v>
      </c>
      <c r="N501">
        <v>1.8</v>
      </c>
      <c r="O501" s="3">
        <f t="shared" si="38"/>
        <v>1.8</v>
      </c>
      <c r="P501">
        <v>1</v>
      </c>
      <c r="Q501" t="str" cm="1">
        <f t="array" ref="Q501">_xlfn.IFS(ISBLANK(P501),"Not Specified",OR(P501="N",P501=FALSE,P501="no",P501=0),"no",TRUE,"yes")</f>
        <v>yes</v>
      </c>
      <c r="R501" s="5">
        <v>0.9</v>
      </c>
      <c r="S501">
        <f t="shared" si="39"/>
        <v>90</v>
      </c>
    </row>
    <row r="502" spans="1:19">
      <c r="A502" t="s">
        <v>1089</v>
      </c>
      <c r="B502" t="s">
        <v>1090</v>
      </c>
      <c r="C502" t="s">
        <v>55</v>
      </c>
      <c r="D502" t="str" cm="1">
        <f t="array" ref="D502">_xlfn.IFS(OR(LOWER(C502)="f",LOWER(C502)="female"),"Female",TRUE,"Male")</f>
        <v>Male</v>
      </c>
      <c r="E502">
        <v>55</v>
      </c>
      <c r="F502">
        <f t="shared" si="35"/>
        <v>55</v>
      </c>
      <c r="G502" t="s">
        <v>28</v>
      </c>
      <c r="H502" t="s">
        <v>29</v>
      </c>
      <c r="I502" t="s">
        <v>58</v>
      </c>
      <c r="J502">
        <v>7</v>
      </c>
      <c r="K502">
        <f t="shared" si="36"/>
        <v>7</v>
      </c>
      <c r="L502" t="s">
        <v>31</v>
      </c>
      <c r="M502" t="str">
        <f t="shared" si="37"/>
        <v> 100</v>
      </c>
      <c r="N502">
        <v>2.1</v>
      </c>
      <c r="O502" s="3">
        <f t="shared" si="38"/>
        <v>2.1</v>
      </c>
      <c r="P502">
        <v>0</v>
      </c>
      <c r="Q502" t="str" cm="1">
        <f t="array" ref="Q502">_xlfn.IFS(ISBLANK(P502),"Not Specified",OR(P502="N",P502=FALSE,P502="no",P502=0),"no",TRUE,"yes")</f>
        <v>no</v>
      </c>
      <c r="R502" s="5">
        <v>0.66</v>
      </c>
      <c r="S502">
        <f t="shared" si="39"/>
        <v>66</v>
      </c>
    </row>
    <row r="503" spans="1:19">
      <c r="A503" t="s">
        <v>1091</v>
      </c>
      <c r="B503" t="s">
        <v>1092</v>
      </c>
      <c r="C503" t="s">
        <v>99</v>
      </c>
      <c r="D503" t="str" cm="1">
        <f t="array" ref="D503">_xlfn.IFS(OR(LOWER(C503)="f",LOWER(C503)="female"),"Female",TRUE,"Male")</f>
        <v>Male</v>
      </c>
      <c r="E503">
        <v>32</v>
      </c>
      <c r="F503">
        <f t="shared" si="35"/>
        <v>32</v>
      </c>
      <c r="G503" t="s">
        <v>186</v>
      </c>
      <c r="H503" t="s">
        <v>79</v>
      </c>
      <c r="I503" t="s">
        <v>96</v>
      </c>
      <c r="J503">
        <v>1</v>
      </c>
      <c r="K503">
        <f t="shared" si="36"/>
        <v>1</v>
      </c>
      <c r="L503" t="s">
        <v>71</v>
      </c>
      <c r="M503" t="str">
        <f t="shared" si="37"/>
        <v>50</v>
      </c>
      <c r="O503" s="3" t="str">
        <f t="shared" si="38"/>
        <v>Not Specified</v>
      </c>
      <c r="P503" t="s">
        <v>75</v>
      </c>
      <c r="Q503" t="str" cm="1">
        <f t="array" ref="Q503">_xlfn.IFS(ISBLANK(P503),"Not Specified",OR(P503="N",P503=FALSE,P503="no",P503=0),"no",TRUE,"yes")</f>
        <v>yes</v>
      </c>
      <c r="R503" s="5">
        <v>0.7</v>
      </c>
      <c r="S503">
        <f t="shared" si="39"/>
        <v>70</v>
      </c>
    </row>
    <row r="504" spans="1:19">
      <c r="A504" t="s">
        <v>1093</v>
      </c>
      <c r="B504" t="s">
        <v>1094</v>
      </c>
      <c r="C504" t="s">
        <v>27</v>
      </c>
      <c r="D504" t="str" cm="1">
        <f t="array" ref="D504">_xlfn.IFS(OR(LOWER(C504)="f",LOWER(C504)="female"),"Female",TRUE,"Male")</f>
        <v>Female</v>
      </c>
      <c r="E504">
        <v>21</v>
      </c>
      <c r="F504">
        <f t="shared" si="35"/>
        <v>21</v>
      </c>
      <c r="G504" t="s">
        <v>92</v>
      </c>
      <c r="H504" t="s">
        <v>93</v>
      </c>
      <c r="I504" t="s">
        <v>80</v>
      </c>
      <c r="J504">
        <v>0</v>
      </c>
      <c r="K504">
        <f t="shared" si="36"/>
        <v>0</v>
      </c>
      <c r="L504" t="s">
        <v>116</v>
      </c>
      <c r="M504" t="str">
        <f t="shared" si="37"/>
        <v> 30</v>
      </c>
      <c r="N504">
        <v>4.2</v>
      </c>
      <c r="O504" s="3">
        <f t="shared" si="38"/>
        <v>4.2</v>
      </c>
      <c r="P504" t="s">
        <v>75</v>
      </c>
      <c r="Q504" t="str" cm="1">
        <f t="array" ref="Q504">_xlfn.IFS(ISBLANK(P504),"Not Specified",OR(P504="N",P504=FALSE,P504="no",P504=0),"no",TRUE,"yes")</f>
        <v>yes</v>
      </c>
      <c r="R504" s="5">
        <v>0.79</v>
      </c>
      <c r="S504">
        <f t="shared" si="39"/>
        <v>79</v>
      </c>
    </row>
    <row r="505" spans="1:19">
      <c r="A505" t="s">
        <v>1095</v>
      </c>
      <c r="B505" t="s">
        <v>1096</v>
      </c>
      <c r="C505" t="s">
        <v>99</v>
      </c>
      <c r="D505" t="str" cm="1">
        <f t="array" ref="D505">_xlfn.IFS(OR(LOWER(C505)="f",LOWER(C505)="female"),"Female",TRUE,"Male")</f>
        <v>Male</v>
      </c>
      <c r="E505">
        <v>23</v>
      </c>
      <c r="F505">
        <f t="shared" si="35"/>
        <v>23</v>
      </c>
      <c r="G505" t="s">
        <v>119</v>
      </c>
      <c r="H505" t="s">
        <v>120</v>
      </c>
      <c r="I505" t="s">
        <v>24</v>
      </c>
      <c r="J505">
        <v>1</v>
      </c>
      <c r="K505">
        <f t="shared" si="36"/>
        <v>1</v>
      </c>
      <c r="L505">
        <v>40</v>
      </c>
      <c r="M505" t="str">
        <f t="shared" si="37"/>
        <v>40</v>
      </c>
      <c r="N505">
        <v>0</v>
      </c>
      <c r="O505" s="3" t="str">
        <f t="shared" si="38"/>
        <v>Not Specified</v>
      </c>
      <c r="P505">
        <v>0</v>
      </c>
      <c r="Q505" t="str" cm="1">
        <f t="array" ref="Q505">_xlfn.IFS(ISBLANK(P505),"Not Specified",OR(P505="N",P505=FALSE,P505="no",P505=0),"no",TRUE,"yes")</f>
        <v>no</v>
      </c>
      <c r="R505" s="5">
        <v>0.64</v>
      </c>
      <c r="S505">
        <f t="shared" si="39"/>
        <v>64</v>
      </c>
    </row>
    <row r="506" spans="1:19">
      <c r="A506" t="s">
        <v>1097</v>
      </c>
      <c r="B506" t="s">
        <v>1098</v>
      </c>
      <c r="C506" t="s">
        <v>104</v>
      </c>
      <c r="D506" t="str" cm="1">
        <f t="array" ref="D506">_xlfn.IFS(OR(LOWER(C506)="f",LOWER(C506)="female"),"Female",TRUE,"Male")</f>
        <v>Male</v>
      </c>
      <c r="E506">
        <v>21</v>
      </c>
      <c r="F506">
        <f t="shared" si="35"/>
        <v>21</v>
      </c>
      <c r="G506" t="s">
        <v>74</v>
      </c>
      <c r="H506" t="s">
        <v>29</v>
      </c>
      <c r="I506" t="s">
        <v>30</v>
      </c>
      <c r="J506">
        <v>1</v>
      </c>
      <c r="K506">
        <f t="shared" si="36"/>
        <v>1</v>
      </c>
      <c r="L506" t="s">
        <v>116</v>
      </c>
      <c r="M506" t="str">
        <f t="shared" si="37"/>
        <v> 30</v>
      </c>
      <c r="N506">
        <v>1</v>
      </c>
      <c r="O506" s="3">
        <f t="shared" si="38"/>
        <v>1</v>
      </c>
      <c r="P506" t="s">
        <v>38</v>
      </c>
      <c r="Q506" t="str" cm="1">
        <f t="array" ref="Q506">_xlfn.IFS(ISBLANK(P506),"Not Specified",OR(P506="N",P506=FALSE,P506="no",P506=0),"no",TRUE,"yes")</f>
        <v>no</v>
      </c>
      <c r="R506" s="5">
        <v>0.81</v>
      </c>
      <c r="S506">
        <f t="shared" si="39"/>
        <v>81</v>
      </c>
    </row>
    <row r="507" spans="1:19">
      <c r="A507" t="s">
        <v>1099</v>
      </c>
      <c r="B507" t="s">
        <v>1100</v>
      </c>
      <c r="C507" t="s">
        <v>104</v>
      </c>
      <c r="D507" t="str" cm="1">
        <f t="array" ref="D507">_xlfn.IFS(OR(LOWER(C507)="f",LOWER(C507)="female"),"Female",TRUE,"Male")</f>
        <v>Male</v>
      </c>
      <c r="E507">
        <v>31</v>
      </c>
      <c r="F507">
        <f t="shared" si="35"/>
        <v>31</v>
      </c>
      <c r="G507" t="s">
        <v>78</v>
      </c>
      <c r="H507" t="s">
        <v>79</v>
      </c>
      <c r="I507" t="s">
        <v>51</v>
      </c>
      <c r="J507">
        <v>7</v>
      </c>
      <c r="K507">
        <f t="shared" si="36"/>
        <v>7</v>
      </c>
      <c r="L507">
        <v>75</v>
      </c>
      <c r="M507" t="str">
        <f t="shared" si="37"/>
        <v>75</v>
      </c>
      <c r="N507">
        <v>4.4</v>
      </c>
      <c r="O507" s="3">
        <f t="shared" si="38"/>
        <v>4.4</v>
      </c>
      <c r="P507">
        <v>0</v>
      </c>
      <c r="Q507" t="str" cm="1">
        <f t="array" ref="Q507">_xlfn.IFS(ISBLANK(P507),"Not Specified",OR(P507="N",P507=FALSE,P507="no",P507=0),"no",TRUE,"yes")</f>
        <v>no</v>
      </c>
      <c r="R507" s="5">
        <v>0.83</v>
      </c>
      <c r="S507">
        <f t="shared" si="39"/>
        <v>83</v>
      </c>
    </row>
    <row r="508" spans="1:19">
      <c r="A508" t="s">
        <v>1101</v>
      </c>
      <c r="B508" t="s">
        <v>1102</v>
      </c>
      <c r="C508" t="s">
        <v>99</v>
      </c>
      <c r="D508" t="str" cm="1">
        <f t="array" ref="D508">_xlfn.IFS(OR(LOWER(C508)="f",LOWER(C508)="female"),"Female",TRUE,"Male")</f>
        <v>Male</v>
      </c>
      <c r="E508">
        <v>21</v>
      </c>
      <c r="F508">
        <f t="shared" si="35"/>
        <v>21</v>
      </c>
      <c r="G508" t="s">
        <v>186</v>
      </c>
      <c r="H508" t="s">
        <v>79</v>
      </c>
      <c r="I508" t="s">
        <v>24</v>
      </c>
      <c r="K508" t="str">
        <f t="shared" si="36"/>
        <v>Not Specified</v>
      </c>
      <c r="L508">
        <v>40</v>
      </c>
      <c r="M508" t="str">
        <f t="shared" si="37"/>
        <v>40</v>
      </c>
      <c r="N508">
        <v>4</v>
      </c>
      <c r="O508" s="3">
        <f t="shared" si="38"/>
        <v>4</v>
      </c>
      <c r="P508">
        <v>0</v>
      </c>
      <c r="Q508" t="str" cm="1">
        <f t="array" ref="Q508">_xlfn.IFS(ISBLANK(P508),"Not Specified",OR(P508="N",P508=FALSE,P508="no",P508=0),"no",TRUE,"yes")</f>
        <v>no</v>
      </c>
      <c r="R508" s="5">
        <v>0.91</v>
      </c>
      <c r="S508">
        <f t="shared" si="39"/>
        <v>91</v>
      </c>
    </row>
    <row r="509" spans="1:19">
      <c r="A509" t="s">
        <v>1103</v>
      </c>
      <c r="B509" t="s">
        <v>1104</v>
      </c>
      <c r="C509" t="s">
        <v>34</v>
      </c>
      <c r="D509" t="str" cm="1">
        <f t="array" ref="D509">_xlfn.IFS(OR(LOWER(C509)="f",LOWER(C509)="female"),"Female",TRUE,"Male")</f>
        <v>Male</v>
      </c>
      <c r="E509">
        <v>33</v>
      </c>
      <c r="F509">
        <f t="shared" si="35"/>
        <v>33</v>
      </c>
      <c r="G509" t="s">
        <v>74</v>
      </c>
      <c r="H509" t="s">
        <v>29</v>
      </c>
      <c r="I509" t="s">
        <v>85</v>
      </c>
      <c r="J509">
        <v>6</v>
      </c>
      <c r="K509">
        <f t="shared" si="36"/>
        <v>6</v>
      </c>
      <c r="L509" t="s">
        <v>105</v>
      </c>
      <c r="M509" t="str">
        <f t="shared" si="37"/>
        <v> 50</v>
      </c>
      <c r="N509">
        <v>3.1</v>
      </c>
      <c r="O509" s="3">
        <f t="shared" si="38"/>
        <v>3.1</v>
      </c>
      <c r="P509" t="s">
        <v>38</v>
      </c>
      <c r="Q509" t="str" cm="1">
        <f t="array" ref="Q509">_xlfn.IFS(ISBLANK(P509),"Not Specified",OR(P509="N",P509=FALSE,P509="no",P509=0),"no",TRUE,"yes")</f>
        <v>no</v>
      </c>
      <c r="S509" t="str">
        <f t="shared" si="39"/>
        <v>Not Specified</v>
      </c>
    </row>
    <row r="510" spans="1:19">
      <c r="A510" t="s">
        <v>1105</v>
      </c>
      <c r="B510" t="s">
        <v>1106</v>
      </c>
      <c r="C510" t="s">
        <v>55</v>
      </c>
      <c r="D510" t="str" cm="1">
        <f t="array" ref="D510">_xlfn.IFS(OR(LOWER(C510)="f",LOWER(C510)="female"),"Female",TRUE,"Male")</f>
        <v>Male</v>
      </c>
      <c r="E510">
        <v>57</v>
      </c>
      <c r="F510">
        <f t="shared" si="35"/>
        <v>57</v>
      </c>
      <c r="G510" t="s">
        <v>114</v>
      </c>
      <c r="H510" t="s">
        <v>115</v>
      </c>
      <c r="I510" t="s">
        <v>42</v>
      </c>
      <c r="J510">
        <v>5</v>
      </c>
      <c r="K510">
        <f t="shared" si="36"/>
        <v>5</v>
      </c>
      <c r="L510">
        <v>75</v>
      </c>
      <c r="M510" t="str">
        <f t="shared" si="37"/>
        <v>75</v>
      </c>
      <c r="N510">
        <v>1.1</v>
      </c>
      <c r="O510" s="3">
        <f t="shared" si="38"/>
        <v>1.1</v>
      </c>
      <c r="P510" t="b">
        <v>1</v>
      </c>
      <c r="Q510" t="str" cm="1">
        <f t="array" ref="Q510">_xlfn.IFS(ISBLANK(P510),"Not Specified",OR(P510="N",P510=FALSE,P510="no",P510=0),"no",TRUE,"yes")</f>
        <v>yes</v>
      </c>
      <c r="R510" s="5">
        <v>0.77</v>
      </c>
      <c r="S510">
        <f t="shared" si="39"/>
        <v>77</v>
      </c>
    </row>
    <row r="511" spans="1:19">
      <c r="A511" t="s">
        <v>1107</v>
      </c>
      <c r="B511" t="s">
        <v>1108</v>
      </c>
      <c r="C511" t="s">
        <v>55</v>
      </c>
      <c r="D511" t="str" cm="1">
        <f t="array" ref="D511">_xlfn.IFS(OR(LOWER(C511)="f",LOWER(C511)="female"),"Female",TRUE,"Male")</f>
        <v>Male</v>
      </c>
      <c r="E511">
        <v>52</v>
      </c>
      <c r="F511">
        <f t="shared" si="35"/>
        <v>52</v>
      </c>
      <c r="G511" t="s">
        <v>65</v>
      </c>
      <c r="H511" t="s">
        <v>29</v>
      </c>
      <c r="I511" t="s">
        <v>96</v>
      </c>
      <c r="J511">
        <v>17</v>
      </c>
      <c r="K511">
        <f t="shared" si="36"/>
        <v>17</v>
      </c>
      <c r="L511" t="s">
        <v>59</v>
      </c>
      <c r="M511" t="str">
        <f t="shared" si="37"/>
        <v> 75</v>
      </c>
      <c r="N511">
        <v>0</v>
      </c>
      <c r="O511" s="3" t="str">
        <f t="shared" si="38"/>
        <v>Not Specified</v>
      </c>
      <c r="P511">
        <v>0</v>
      </c>
      <c r="Q511" t="str" cm="1">
        <f t="array" ref="Q511">_xlfn.IFS(ISBLANK(P511),"Not Specified",OR(P511="N",P511=FALSE,P511="no",P511=0),"no",TRUE,"yes")</f>
        <v>no</v>
      </c>
      <c r="R511" s="5">
        <v>0.94</v>
      </c>
      <c r="S511">
        <f t="shared" si="39"/>
        <v>94</v>
      </c>
    </row>
    <row r="512" spans="1:19">
      <c r="A512" t="s">
        <v>1109</v>
      </c>
      <c r="B512" t="s">
        <v>1110</v>
      </c>
      <c r="C512" t="s">
        <v>84</v>
      </c>
      <c r="D512" t="str" cm="1">
        <f t="array" ref="D512">_xlfn.IFS(OR(LOWER(C512)="f",LOWER(C512)="female"),"Female",TRUE,"Male")</f>
        <v>Female</v>
      </c>
      <c r="E512">
        <v>21</v>
      </c>
      <c r="F512">
        <f t="shared" si="35"/>
        <v>21</v>
      </c>
      <c r="G512" t="s">
        <v>35</v>
      </c>
      <c r="H512" t="s">
        <v>36</v>
      </c>
      <c r="I512" t="s">
        <v>42</v>
      </c>
      <c r="J512">
        <v>0</v>
      </c>
      <c r="K512">
        <f t="shared" si="36"/>
        <v>0</v>
      </c>
      <c r="L512" t="s">
        <v>128</v>
      </c>
      <c r="M512" t="str">
        <f t="shared" si="37"/>
        <v>20</v>
      </c>
      <c r="N512">
        <v>3.8</v>
      </c>
      <c r="O512" s="3">
        <f t="shared" si="38"/>
        <v>3.8</v>
      </c>
      <c r="P512">
        <v>1</v>
      </c>
      <c r="Q512" t="str" cm="1">
        <f t="array" ref="Q512">_xlfn.IFS(ISBLANK(P512),"Not Specified",OR(P512="N",P512=FALSE,P512="no",P512=0),"no",TRUE,"yes")</f>
        <v>yes</v>
      </c>
      <c r="R512" s="5">
        <v>0.61</v>
      </c>
      <c r="S512">
        <f t="shared" si="39"/>
        <v>61</v>
      </c>
    </row>
    <row r="513" spans="1:19">
      <c r="A513" t="s">
        <v>1111</v>
      </c>
      <c r="B513" t="s">
        <v>1112</v>
      </c>
      <c r="C513" t="s">
        <v>27</v>
      </c>
      <c r="D513" t="str" cm="1">
        <f t="array" ref="D513">_xlfn.IFS(OR(LOWER(C513)="f",LOWER(C513)="female"),"Female",TRUE,"Male")</f>
        <v>Female</v>
      </c>
      <c r="E513">
        <v>36</v>
      </c>
      <c r="F513">
        <f t="shared" si="35"/>
        <v>36</v>
      </c>
      <c r="G513" t="s">
        <v>78</v>
      </c>
      <c r="H513" t="s">
        <v>79</v>
      </c>
      <c r="I513" t="s">
        <v>80</v>
      </c>
      <c r="J513">
        <v>8</v>
      </c>
      <c r="K513">
        <f t="shared" si="36"/>
        <v>8</v>
      </c>
      <c r="L513">
        <v>100</v>
      </c>
      <c r="M513" t="str">
        <f t="shared" si="37"/>
        <v>100</v>
      </c>
      <c r="N513">
        <v>1.7</v>
      </c>
      <c r="O513" s="3">
        <f t="shared" si="38"/>
        <v>1.7</v>
      </c>
      <c r="P513" t="s">
        <v>38</v>
      </c>
      <c r="Q513" t="str" cm="1">
        <f t="array" ref="Q513">_xlfn.IFS(ISBLANK(P513),"Not Specified",OR(P513="N",P513=FALSE,P513="no",P513=0),"no",TRUE,"yes")</f>
        <v>no</v>
      </c>
      <c r="R513" s="5">
        <v>0.68</v>
      </c>
      <c r="S513">
        <f t="shared" si="39"/>
        <v>68</v>
      </c>
    </row>
    <row r="514" spans="1:19">
      <c r="A514" t="s">
        <v>1113</v>
      </c>
      <c r="B514" t="s">
        <v>1114</v>
      </c>
      <c r="C514" t="s">
        <v>34</v>
      </c>
      <c r="D514" t="str" cm="1">
        <f t="array" ref="D514">_xlfn.IFS(OR(LOWER(C514)="f",LOWER(C514)="female"),"Female",TRUE,"Male")</f>
        <v>Male</v>
      </c>
      <c r="E514">
        <v>33</v>
      </c>
      <c r="F514">
        <f t="shared" si="35"/>
        <v>33</v>
      </c>
      <c r="G514" t="s">
        <v>197</v>
      </c>
      <c r="H514" t="s">
        <v>79</v>
      </c>
      <c r="I514" t="s">
        <v>121</v>
      </c>
      <c r="J514">
        <v>13</v>
      </c>
      <c r="K514">
        <f t="shared" si="36"/>
        <v>13</v>
      </c>
      <c r="L514">
        <v>50</v>
      </c>
      <c r="M514" t="str">
        <f t="shared" si="37"/>
        <v>50</v>
      </c>
      <c r="N514">
        <v>2.2</v>
      </c>
      <c r="O514" s="3">
        <f t="shared" si="38"/>
        <v>2.2</v>
      </c>
      <c r="P514" t="s">
        <v>38</v>
      </c>
      <c r="Q514" t="str" cm="1">
        <f t="array" ref="Q514">_xlfn.IFS(ISBLANK(P514),"Not Specified",OR(P514="N",P514=FALSE,P514="no",P514=0),"no",TRUE,"yes")</f>
        <v>no</v>
      </c>
      <c r="R514" s="5">
        <v>0.7</v>
      </c>
      <c r="S514">
        <f t="shared" si="39"/>
        <v>70</v>
      </c>
    </row>
    <row r="515" spans="1:19">
      <c r="A515" t="s">
        <v>1115</v>
      </c>
      <c r="B515" t="s">
        <v>1116</v>
      </c>
      <c r="C515" t="s">
        <v>41</v>
      </c>
      <c r="D515" t="str" cm="1">
        <f t="array" ref="D515">_xlfn.IFS(OR(LOWER(C515)="f",LOWER(C515)="female"),"Female",TRUE,"Male")</f>
        <v>Female</v>
      </c>
      <c r="E515">
        <v>54</v>
      </c>
      <c r="F515">
        <f t="shared" ref="F515:F578" si="40">IF(ISNUMBER(E515),E515,"Not Specified")</f>
        <v>54</v>
      </c>
      <c r="G515" t="s">
        <v>74</v>
      </c>
      <c r="H515" t="s">
        <v>29</v>
      </c>
      <c r="I515" t="s">
        <v>58</v>
      </c>
      <c r="J515">
        <v>15</v>
      </c>
      <c r="K515">
        <f t="shared" ref="K515:K578" si="41">IF(ISNUMBER(J515),J515,"Not Specified")</f>
        <v>15</v>
      </c>
      <c r="L515">
        <v>40</v>
      </c>
      <c r="M515" t="str">
        <f t="shared" ref="M515:M578" si="42">IF(SUBSTITUTE(SUBSTITUTE(L515,"USD",""),"$","")="","Not Specified",SUBSTITUTE(SUBSTITUTE(L515,"USD",""),"$",""))</f>
        <v>40</v>
      </c>
      <c r="N515">
        <v>4.1</v>
      </c>
      <c r="O515" s="3">
        <f t="shared" ref="O515:O578" si="43">IF(OR(N515="",N515=0),"Not Specified",N515)</f>
        <v>4.1</v>
      </c>
      <c r="P515" t="b">
        <v>1</v>
      </c>
      <c r="Q515" t="str" cm="1">
        <f t="array" ref="Q515">_xlfn.IFS(ISBLANK(P515),"Not Specified",OR(P515="N",P515=FALSE,P515="no",P515=0),"no",TRUE,"yes")</f>
        <v>yes</v>
      </c>
      <c r="R515">
        <v>71</v>
      </c>
      <c r="S515">
        <f t="shared" ref="S515:S578" si="44">IF(ISBLANK(R515),"Not Specified",IF(R515&lt;=1,R515*100,R515))</f>
        <v>71</v>
      </c>
    </row>
    <row r="516" spans="1:19">
      <c r="A516" t="s">
        <v>1117</v>
      </c>
      <c r="B516" t="s">
        <v>1118</v>
      </c>
      <c r="C516" t="s">
        <v>46</v>
      </c>
      <c r="D516" t="str" cm="1">
        <f t="array" ref="D516">_xlfn.IFS(OR(LOWER(C516)="f",LOWER(C516)="female"),"Female",TRUE,"Male")</f>
        <v>Female</v>
      </c>
      <c r="E516">
        <v>33</v>
      </c>
      <c r="F516">
        <f t="shared" si="40"/>
        <v>33</v>
      </c>
      <c r="G516" t="s">
        <v>65</v>
      </c>
      <c r="H516" t="s">
        <v>29</v>
      </c>
      <c r="I516" t="s">
        <v>24</v>
      </c>
      <c r="J516">
        <v>2</v>
      </c>
      <c r="K516">
        <f t="shared" si="41"/>
        <v>2</v>
      </c>
      <c r="L516" t="s">
        <v>31</v>
      </c>
      <c r="M516" t="str">
        <f t="shared" si="42"/>
        <v> 100</v>
      </c>
      <c r="N516">
        <v>3.8</v>
      </c>
      <c r="O516" s="3">
        <f t="shared" si="43"/>
        <v>3.8</v>
      </c>
      <c r="P516" t="b">
        <v>0</v>
      </c>
      <c r="Q516" t="str" cm="1">
        <f t="array" ref="Q516">_xlfn.IFS(ISBLANK(P516),"Not Specified",OR(P516="N",P516=FALSE,P516="no",P516=0),"no",TRUE,"yes")</f>
        <v>no</v>
      </c>
      <c r="S516" t="str">
        <f t="shared" si="44"/>
        <v>Not Specified</v>
      </c>
    </row>
    <row r="517" spans="1:19">
      <c r="A517" t="s">
        <v>1119</v>
      </c>
      <c r="B517" t="s">
        <v>1120</v>
      </c>
      <c r="C517" t="s">
        <v>46</v>
      </c>
      <c r="D517" t="str" cm="1">
        <f t="array" ref="D517">_xlfn.IFS(OR(LOWER(C517)="f",LOWER(C517)="female"),"Female",TRUE,"Male")</f>
        <v>Female</v>
      </c>
      <c r="E517">
        <v>36</v>
      </c>
      <c r="F517">
        <f t="shared" si="40"/>
        <v>36</v>
      </c>
      <c r="G517" t="s">
        <v>92</v>
      </c>
      <c r="H517" t="s">
        <v>93</v>
      </c>
      <c r="I517" t="s">
        <v>121</v>
      </c>
      <c r="J517">
        <v>9</v>
      </c>
      <c r="K517">
        <f t="shared" si="41"/>
        <v>9</v>
      </c>
      <c r="L517" t="s">
        <v>52</v>
      </c>
      <c r="M517" t="str">
        <f t="shared" si="42"/>
        <v>30</v>
      </c>
      <c r="N517">
        <v>0</v>
      </c>
      <c r="O517" s="3" t="str">
        <f t="shared" si="43"/>
        <v>Not Specified</v>
      </c>
      <c r="P517" t="s">
        <v>75</v>
      </c>
      <c r="Q517" t="str" cm="1">
        <f t="array" ref="Q517">_xlfn.IFS(ISBLANK(P517),"Not Specified",OR(P517="N",P517=FALSE,P517="no",P517=0),"no",TRUE,"yes")</f>
        <v>yes</v>
      </c>
      <c r="R517" s="5">
        <v>0.78</v>
      </c>
      <c r="S517">
        <f t="shared" si="44"/>
        <v>78</v>
      </c>
    </row>
    <row r="518" spans="1:19">
      <c r="A518" t="s">
        <v>1121</v>
      </c>
      <c r="B518" t="s">
        <v>1122</v>
      </c>
      <c r="C518" t="s">
        <v>27</v>
      </c>
      <c r="D518" t="str" cm="1">
        <f t="array" ref="D518">_xlfn.IFS(OR(LOWER(C518)="f",LOWER(C518)="female"),"Female",TRUE,"Male")</f>
        <v>Female</v>
      </c>
      <c r="E518">
        <v>36</v>
      </c>
      <c r="F518">
        <f t="shared" si="40"/>
        <v>36</v>
      </c>
      <c r="G518" t="s">
        <v>69</v>
      </c>
      <c r="H518" t="s">
        <v>70</v>
      </c>
      <c r="I518" t="s">
        <v>51</v>
      </c>
      <c r="J518">
        <v>3</v>
      </c>
      <c r="K518">
        <f t="shared" si="41"/>
        <v>3</v>
      </c>
      <c r="L518" t="s">
        <v>105</v>
      </c>
      <c r="M518" t="str">
        <f t="shared" si="42"/>
        <v> 50</v>
      </c>
      <c r="N518">
        <v>0</v>
      </c>
      <c r="O518" s="3" t="str">
        <f t="shared" si="43"/>
        <v>Not Specified</v>
      </c>
      <c r="P518" t="s">
        <v>166</v>
      </c>
      <c r="Q518" t="str" cm="1">
        <f t="array" ref="Q518">_xlfn.IFS(ISBLANK(P518),"Not Specified",OR(P518="N",P518=FALSE,P518="no",P518=0),"no",TRUE,"yes")</f>
        <v>no</v>
      </c>
      <c r="R518">
        <v>75</v>
      </c>
      <c r="S518">
        <f t="shared" si="44"/>
        <v>75</v>
      </c>
    </row>
    <row r="519" spans="1:19">
      <c r="A519" t="s">
        <v>1123</v>
      </c>
      <c r="B519" t="s">
        <v>1124</v>
      </c>
      <c r="C519" t="s">
        <v>41</v>
      </c>
      <c r="D519" t="str" cm="1">
        <f t="array" ref="D519">_xlfn.IFS(OR(LOWER(C519)="f",LOWER(C519)="female"),"Female",TRUE,"Male")</f>
        <v>Female</v>
      </c>
      <c r="E519">
        <v>43</v>
      </c>
      <c r="F519">
        <f t="shared" si="40"/>
        <v>43</v>
      </c>
      <c r="G519" t="s">
        <v>182</v>
      </c>
      <c r="H519" t="s">
        <v>183</v>
      </c>
      <c r="I519" t="s">
        <v>51</v>
      </c>
      <c r="J519">
        <v>15</v>
      </c>
      <c r="K519">
        <f t="shared" si="41"/>
        <v>15</v>
      </c>
      <c r="L519" t="s">
        <v>128</v>
      </c>
      <c r="M519" t="str">
        <f t="shared" si="42"/>
        <v>20</v>
      </c>
      <c r="N519">
        <v>4.2</v>
      </c>
      <c r="O519" s="3">
        <f t="shared" si="43"/>
        <v>4.2</v>
      </c>
      <c r="P519" t="b">
        <v>1</v>
      </c>
      <c r="Q519" t="str" cm="1">
        <f t="array" ref="Q519">_xlfn.IFS(ISBLANK(P519),"Not Specified",OR(P519="N",P519=FALSE,P519="no",P519=0),"no",TRUE,"yes")</f>
        <v>yes</v>
      </c>
      <c r="R519" s="5">
        <v>0.91</v>
      </c>
      <c r="S519">
        <f t="shared" si="44"/>
        <v>91</v>
      </c>
    </row>
    <row r="520" spans="1:19">
      <c r="A520" t="s">
        <v>1125</v>
      </c>
      <c r="B520" t="s">
        <v>1126</v>
      </c>
      <c r="C520" t="s">
        <v>104</v>
      </c>
      <c r="D520" t="str" cm="1">
        <f t="array" ref="D520">_xlfn.IFS(OR(LOWER(C520)="f",LOWER(C520)="female"),"Female",TRUE,"Male")</f>
        <v>Male</v>
      </c>
      <c r="E520">
        <v>52</v>
      </c>
      <c r="F520">
        <f t="shared" si="40"/>
        <v>52</v>
      </c>
      <c r="G520" t="s">
        <v>74</v>
      </c>
      <c r="H520" t="s">
        <v>29</v>
      </c>
      <c r="I520" t="s">
        <v>58</v>
      </c>
      <c r="J520">
        <v>21</v>
      </c>
      <c r="K520">
        <f t="shared" si="41"/>
        <v>21</v>
      </c>
      <c r="L520" t="s">
        <v>59</v>
      </c>
      <c r="M520" t="str">
        <f t="shared" si="42"/>
        <v> 75</v>
      </c>
      <c r="N520">
        <v>2.2</v>
      </c>
      <c r="O520" s="3">
        <f t="shared" si="43"/>
        <v>2.2</v>
      </c>
      <c r="P520">
        <v>1</v>
      </c>
      <c r="Q520" t="str" cm="1">
        <f t="array" ref="Q520">_xlfn.IFS(ISBLANK(P520),"Not Specified",OR(P520="N",P520=FALSE,P520="no",P520=0),"no",TRUE,"yes")</f>
        <v>yes</v>
      </c>
      <c r="R520" s="5">
        <v>0.66</v>
      </c>
      <c r="S520">
        <f t="shared" si="44"/>
        <v>66</v>
      </c>
    </row>
    <row r="521" spans="1:19">
      <c r="A521" t="s">
        <v>1127</v>
      </c>
      <c r="B521" t="s">
        <v>1128</v>
      </c>
      <c r="C521" t="s">
        <v>41</v>
      </c>
      <c r="D521" t="str" cm="1">
        <f t="array" ref="D521">_xlfn.IFS(OR(LOWER(C521)="f",LOWER(C521)="female"),"Female",TRUE,"Male")</f>
        <v>Female</v>
      </c>
      <c r="E521">
        <v>28</v>
      </c>
      <c r="F521">
        <f t="shared" si="40"/>
        <v>28</v>
      </c>
      <c r="G521" t="s">
        <v>56</v>
      </c>
      <c r="H521" t="s">
        <v>57</v>
      </c>
      <c r="I521" t="s">
        <v>85</v>
      </c>
      <c r="J521">
        <v>2</v>
      </c>
      <c r="K521">
        <f t="shared" si="41"/>
        <v>2</v>
      </c>
      <c r="L521" t="s">
        <v>59</v>
      </c>
      <c r="M521" t="str">
        <f t="shared" si="42"/>
        <v> 75</v>
      </c>
      <c r="N521">
        <v>1.5</v>
      </c>
      <c r="O521" s="3">
        <f t="shared" si="43"/>
        <v>1.5</v>
      </c>
      <c r="P521">
        <v>1</v>
      </c>
      <c r="Q521" t="str" cm="1">
        <f t="array" ref="Q521">_xlfn.IFS(ISBLANK(P521),"Not Specified",OR(P521="N",P521=FALSE,P521="no",P521=0),"no",TRUE,"yes")</f>
        <v>yes</v>
      </c>
      <c r="R521" s="5">
        <v>0.68</v>
      </c>
      <c r="S521">
        <f t="shared" si="44"/>
        <v>68</v>
      </c>
    </row>
    <row r="522" spans="1:19">
      <c r="A522" t="s">
        <v>1129</v>
      </c>
      <c r="B522" t="s">
        <v>1130</v>
      </c>
      <c r="C522" t="s">
        <v>84</v>
      </c>
      <c r="D522" t="str" cm="1">
        <f t="array" ref="D522">_xlfn.IFS(OR(LOWER(C522)="f",LOWER(C522)="female"),"Female",TRUE,"Male")</f>
        <v>Female</v>
      </c>
      <c r="E522">
        <v>47</v>
      </c>
      <c r="F522">
        <f t="shared" si="40"/>
        <v>47</v>
      </c>
      <c r="G522" t="s">
        <v>182</v>
      </c>
      <c r="H522" t="s">
        <v>183</v>
      </c>
      <c r="I522" t="s">
        <v>85</v>
      </c>
      <c r="J522">
        <v>21</v>
      </c>
      <c r="K522">
        <f t="shared" si="41"/>
        <v>21</v>
      </c>
      <c r="L522" t="s">
        <v>236</v>
      </c>
      <c r="M522" t="str">
        <f t="shared" si="42"/>
        <v>100</v>
      </c>
      <c r="N522">
        <v>0</v>
      </c>
      <c r="O522" s="3" t="str">
        <f t="shared" si="43"/>
        <v>Not Specified</v>
      </c>
      <c r="P522" t="s">
        <v>38</v>
      </c>
      <c r="Q522" t="str" cm="1">
        <f t="array" ref="Q522">_xlfn.IFS(ISBLANK(P522),"Not Specified",OR(P522="N",P522=FALSE,P522="no",P522=0),"no",TRUE,"yes")</f>
        <v>no</v>
      </c>
      <c r="S522" t="str">
        <f t="shared" si="44"/>
        <v>Not Specified</v>
      </c>
    </row>
    <row r="523" spans="1:19">
      <c r="A523" t="s">
        <v>1131</v>
      </c>
      <c r="B523" t="s">
        <v>1132</v>
      </c>
      <c r="C523" t="s">
        <v>46</v>
      </c>
      <c r="D523" t="str" cm="1">
        <f t="array" ref="D523">_xlfn.IFS(OR(LOWER(C523)="f",LOWER(C523)="female"),"Female",TRUE,"Male")</f>
        <v>Female</v>
      </c>
      <c r="E523">
        <v>30</v>
      </c>
      <c r="F523">
        <f t="shared" si="40"/>
        <v>30</v>
      </c>
      <c r="G523" t="s">
        <v>142</v>
      </c>
      <c r="H523" t="s">
        <v>143</v>
      </c>
      <c r="I523" t="s">
        <v>96</v>
      </c>
      <c r="J523">
        <v>0</v>
      </c>
      <c r="K523">
        <f t="shared" si="41"/>
        <v>0</v>
      </c>
      <c r="L523" t="s">
        <v>31</v>
      </c>
      <c r="M523" t="str">
        <f t="shared" si="42"/>
        <v> 100</v>
      </c>
      <c r="N523">
        <v>4.1</v>
      </c>
      <c r="O523" s="3">
        <f t="shared" si="43"/>
        <v>4.1</v>
      </c>
      <c r="P523">
        <v>0</v>
      </c>
      <c r="Q523" t="str" cm="1">
        <f t="array" ref="Q523">_xlfn.IFS(ISBLANK(P523),"Not Specified",OR(P523="N",P523=FALSE,P523="no",P523=0),"no",TRUE,"yes")</f>
        <v>no</v>
      </c>
      <c r="R523" s="5">
        <v>0.62</v>
      </c>
      <c r="S523">
        <f t="shared" si="44"/>
        <v>62</v>
      </c>
    </row>
    <row r="524" spans="1:19">
      <c r="A524" t="s">
        <v>1133</v>
      </c>
      <c r="B524" t="s">
        <v>1134</v>
      </c>
      <c r="C524" t="s">
        <v>55</v>
      </c>
      <c r="D524" t="str" cm="1">
        <f t="array" ref="D524">_xlfn.IFS(OR(LOWER(C524)="f",LOWER(C524)="female"),"Female",TRUE,"Male")</f>
        <v>Male</v>
      </c>
      <c r="E524">
        <v>36</v>
      </c>
      <c r="F524">
        <f t="shared" si="40"/>
        <v>36</v>
      </c>
      <c r="G524" t="s">
        <v>146</v>
      </c>
      <c r="H524" t="s">
        <v>147</v>
      </c>
      <c r="I524" t="s">
        <v>24</v>
      </c>
      <c r="J524">
        <v>4</v>
      </c>
      <c r="K524">
        <f t="shared" si="41"/>
        <v>4</v>
      </c>
      <c r="L524">
        <v>40</v>
      </c>
      <c r="M524" t="str">
        <f t="shared" si="42"/>
        <v>40</v>
      </c>
      <c r="N524">
        <v>2.6</v>
      </c>
      <c r="O524" s="3">
        <f t="shared" si="43"/>
        <v>2.6</v>
      </c>
      <c r="P524" t="s">
        <v>166</v>
      </c>
      <c r="Q524" t="str" cm="1">
        <f t="array" ref="Q524">_xlfn.IFS(ISBLANK(P524),"Not Specified",OR(P524="N",P524=FALSE,P524="no",P524=0),"no",TRUE,"yes")</f>
        <v>no</v>
      </c>
      <c r="R524" s="5">
        <v>0.9</v>
      </c>
      <c r="S524">
        <f t="shared" si="44"/>
        <v>90</v>
      </c>
    </row>
    <row r="525" spans="1:19">
      <c r="A525" t="s">
        <v>1135</v>
      </c>
      <c r="B525" t="s">
        <v>1136</v>
      </c>
      <c r="C525" t="s">
        <v>27</v>
      </c>
      <c r="D525" t="str" cm="1">
        <f t="array" ref="D525">_xlfn.IFS(OR(LOWER(C525)="f",LOWER(C525)="female"),"Female",TRUE,"Male")</f>
        <v>Female</v>
      </c>
      <c r="E525">
        <v>45</v>
      </c>
      <c r="F525">
        <f t="shared" si="40"/>
        <v>45</v>
      </c>
      <c r="G525" t="s">
        <v>65</v>
      </c>
      <c r="H525" t="s">
        <v>29</v>
      </c>
      <c r="I525" t="s">
        <v>80</v>
      </c>
      <c r="J525">
        <v>23</v>
      </c>
      <c r="K525">
        <f t="shared" si="41"/>
        <v>23</v>
      </c>
      <c r="L525">
        <v>100</v>
      </c>
      <c r="M525" t="str">
        <f t="shared" si="42"/>
        <v>100</v>
      </c>
      <c r="N525">
        <v>2.4</v>
      </c>
      <c r="O525" s="3">
        <f t="shared" si="43"/>
        <v>2.4</v>
      </c>
      <c r="P525" t="b">
        <v>0</v>
      </c>
      <c r="Q525" t="str" cm="1">
        <f t="array" ref="Q525">_xlfn.IFS(ISBLANK(P525),"Not Specified",OR(P525="N",P525=FALSE,P525="no",P525=0),"no",TRUE,"yes")</f>
        <v>no</v>
      </c>
      <c r="R525" s="5">
        <v>0.96</v>
      </c>
      <c r="S525">
        <f t="shared" si="44"/>
        <v>96</v>
      </c>
    </row>
    <row r="526" spans="1:19">
      <c r="A526" t="s">
        <v>1137</v>
      </c>
      <c r="B526" t="s">
        <v>1138</v>
      </c>
      <c r="C526" t="s">
        <v>41</v>
      </c>
      <c r="D526" t="str" cm="1">
        <f t="array" ref="D526">_xlfn.IFS(OR(LOWER(C526)="f",LOWER(C526)="female"),"Female",TRUE,"Male")</f>
        <v>Female</v>
      </c>
      <c r="E526">
        <v>51</v>
      </c>
      <c r="F526">
        <f t="shared" si="40"/>
        <v>51</v>
      </c>
      <c r="G526" t="s">
        <v>65</v>
      </c>
      <c r="H526" t="s">
        <v>29</v>
      </c>
      <c r="I526" t="s">
        <v>24</v>
      </c>
      <c r="J526">
        <v>25</v>
      </c>
      <c r="K526">
        <f t="shared" si="41"/>
        <v>25</v>
      </c>
      <c r="L526">
        <v>50</v>
      </c>
      <c r="M526" t="str">
        <f t="shared" si="42"/>
        <v>50</v>
      </c>
      <c r="N526">
        <v>1.4</v>
      </c>
      <c r="O526" s="3">
        <f t="shared" si="43"/>
        <v>1.4</v>
      </c>
      <c r="P526" t="s">
        <v>81</v>
      </c>
      <c r="Q526" t="str" cm="1">
        <f t="array" ref="Q526">_xlfn.IFS(ISBLANK(P526),"Not Specified",OR(P526="N",P526=FALSE,P526="no",P526=0),"no",TRUE,"yes")</f>
        <v>yes</v>
      </c>
      <c r="R526" s="5">
        <v>0.6</v>
      </c>
      <c r="S526">
        <f t="shared" si="44"/>
        <v>60</v>
      </c>
    </row>
    <row r="527" spans="1:19">
      <c r="A527" t="s">
        <v>1139</v>
      </c>
      <c r="B527" t="s">
        <v>1140</v>
      </c>
      <c r="C527" t="s">
        <v>55</v>
      </c>
      <c r="D527" t="str" cm="1">
        <f t="array" ref="D527">_xlfn.IFS(OR(LOWER(C527)="f",LOWER(C527)="female"),"Female",TRUE,"Male")</f>
        <v>Male</v>
      </c>
      <c r="E527">
        <v>46</v>
      </c>
      <c r="F527">
        <f t="shared" si="40"/>
        <v>46</v>
      </c>
      <c r="G527" t="s">
        <v>69</v>
      </c>
      <c r="H527" t="s">
        <v>70</v>
      </c>
      <c r="I527" t="s">
        <v>30</v>
      </c>
      <c r="J527">
        <v>10</v>
      </c>
      <c r="K527">
        <f t="shared" si="41"/>
        <v>10</v>
      </c>
      <c r="M527" t="str">
        <f t="shared" si="42"/>
        <v>Not Specified</v>
      </c>
      <c r="N527">
        <v>4.6</v>
      </c>
      <c r="O527" s="3">
        <f t="shared" si="43"/>
        <v>4.6</v>
      </c>
      <c r="P527" t="s">
        <v>81</v>
      </c>
      <c r="Q527" t="str" cm="1">
        <f t="array" ref="Q527">_xlfn.IFS(ISBLANK(P527),"Not Specified",OR(P527="N",P527=FALSE,P527="no",P527=0),"no",TRUE,"yes")</f>
        <v>yes</v>
      </c>
      <c r="R527" s="5">
        <v>0.62</v>
      </c>
      <c r="S527">
        <f t="shared" si="44"/>
        <v>62</v>
      </c>
    </row>
    <row r="528" spans="1:19">
      <c r="A528" t="s">
        <v>1141</v>
      </c>
      <c r="B528" t="s">
        <v>1142</v>
      </c>
      <c r="C528" t="s">
        <v>27</v>
      </c>
      <c r="D528" t="str" cm="1">
        <f t="array" ref="D528">_xlfn.IFS(OR(LOWER(C528)="f",LOWER(C528)="female"),"Female",TRUE,"Male")</f>
        <v>Female</v>
      </c>
      <c r="E528">
        <v>38</v>
      </c>
      <c r="F528">
        <f t="shared" si="40"/>
        <v>38</v>
      </c>
      <c r="G528" t="s">
        <v>22</v>
      </c>
      <c r="H528" t="s">
        <v>23</v>
      </c>
      <c r="I528" t="s">
        <v>58</v>
      </c>
      <c r="J528">
        <v>18</v>
      </c>
      <c r="K528">
        <f t="shared" si="41"/>
        <v>18</v>
      </c>
      <c r="L528" t="s">
        <v>62</v>
      </c>
      <c r="M528" t="str">
        <f t="shared" si="42"/>
        <v> 40</v>
      </c>
      <c r="N528">
        <v>4.9</v>
      </c>
      <c r="O528" s="3">
        <f t="shared" si="43"/>
        <v>4.9</v>
      </c>
      <c r="P528" t="b">
        <v>0</v>
      </c>
      <c r="Q528" t="str" cm="1">
        <f t="array" ref="Q528">_xlfn.IFS(ISBLANK(P528),"Not Specified",OR(P528="N",P528=FALSE,P528="no",P528=0),"no",TRUE,"yes")</f>
        <v>no</v>
      </c>
      <c r="R528" s="5">
        <v>0.74</v>
      </c>
      <c r="S528">
        <f t="shared" si="44"/>
        <v>74</v>
      </c>
    </row>
    <row r="529" spans="1:19">
      <c r="A529" t="s">
        <v>1143</v>
      </c>
      <c r="B529" t="s">
        <v>1144</v>
      </c>
      <c r="C529" t="s">
        <v>104</v>
      </c>
      <c r="D529" t="str" cm="1">
        <f t="array" ref="D529">_xlfn.IFS(OR(LOWER(C529)="f",LOWER(C529)="female"),"Female",TRUE,"Male")</f>
        <v>Male</v>
      </c>
      <c r="E529">
        <v>26</v>
      </c>
      <c r="F529">
        <f t="shared" si="40"/>
        <v>26</v>
      </c>
      <c r="G529" t="s">
        <v>197</v>
      </c>
      <c r="H529" t="s">
        <v>79</v>
      </c>
      <c r="I529" t="s">
        <v>24</v>
      </c>
      <c r="J529">
        <v>1</v>
      </c>
      <c r="K529">
        <f t="shared" si="41"/>
        <v>1</v>
      </c>
      <c r="L529" t="s">
        <v>128</v>
      </c>
      <c r="M529" t="str">
        <f t="shared" si="42"/>
        <v>20</v>
      </c>
      <c r="N529">
        <v>0</v>
      </c>
      <c r="O529" s="3" t="str">
        <f t="shared" si="43"/>
        <v>Not Specified</v>
      </c>
      <c r="P529">
        <v>1</v>
      </c>
      <c r="Q529" t="str" cm="1">
        <f t="array" ref="Q529">_xlfn.IFS(ISBLANK(P529),"Not Specified",OR(P529="N",P529=FALSE,P529="no",P529=0),"no",TRUE,"yes")</f>
        <v>yes</v>
      </c>
      <c r="S529" t="str">
        <f t="shared" si="44"/>
        <v>Not Specified</v>
      </c>
    </row>
    <row r="530" spans="1:19">
      <c r="A530" t="s">
        <v>1145</v>
      </c>
      <c r="B530" t="s">
        <v>1146</v>
      </c>
      <c r="C530" t="s">
        <v>84</v>
      </c>
      <c r="D530" t="str" cm="1">
        <f t="array" ref="D530">_xlfn.IFS(OR(LOWER(C530)="f",LOWER(C530)="female"),"Female",TRUE,"Male")</f>
        <v>Female</v>
      </c>
      <c r="E530">
        <v>40</v>
      </c>
      <c r="F530">
        <f t="shared" si="40"/>
        <v>40</v>
      </c>
      <c r="G530" t="s">
        <v>74</v>
      </c>
      <c r="H530" t="s">
        <v>29</v>
      </c>
      <c r="I530" t="s">
        <v>96</v>
      </c>
      <c r="J530">
        <v>12</v>
      </c>
      <c r="K530">
        <f t="shared" si="41"/>
        <v>12</v>
      </c>
      <c r="L530">
        <v>30</v>
      </c>
      <c r="M530" t="str">
        <f t="shared" si="42"/>
        <v>30</v>
      </c>
      <c r="N530">
        <v>3.5</v>
      </c>
      <c r="O530" s="3">
        <f t="shared" si="43"/>
        <v>3.5</v>
      </c>
      <c r="Q530" t="str" cm="1">
        <f t="array" ref="Q530">_xlfn.IFS(ISBLANK(P530),"Not Specified",OR(P530="N",P530=FALSE,P530="no",P530=0),"no",TRUE,"yes")</f>
        <v>Not Specified</v>
      </c>
      <c r="R530" s="5">
        <v>0.98</v>
      </c>
      <c r="S530">
        <f t="shared" si="44"/>
        <v>98</v>
      </c>
    </row>
    <row r="531" spans="1:19">
      <c r="A531" t="s">
        <v>1147</v>
      </c>
      <c r="B531" t="s">
        <v>1148</v>
      </c>
      <c r="C531" t="s">
        <v>104</v>
      </c>
      <c r="D531" t="str" cm="1">
        <f t="array" ref="D531">_xlfn.IFS(OR(LOWER(C531)="f",LOWER(C531)="female"),"Female",TRUE,"Male")</f>
        <v>Male</v>
      </c>
      <c r="E531">
        <v>37</v>
      </c>
      <c r="F531">
        <f t="shared" si="40"/>
        <v>37</v>
      </c>
      <c r="G531" t="s">
        <v>35</v>
      </c>
      <c r="H531" t="s">
        <v>36</v>
      </c>
      <c r="I531" t="s">
        <v>121</v>
      </c>
      <c r="K531" t="str">
        <f t="shared" si="41"/>
        <v>Not Specified</v>
      </c>
      <c r="M531" t="str">
        <f t="shared" si="42"/>
        <v>Not Specified</v>
      </c>
      <c r="N531">
        <v>1.7</v>
      </c>
      <c r="O531" s="3">
        <f t="shared" si="43"/>
        <v>1.7</v>
      </c>
      <c r="P531" t="s">
        <v>75</v>
      </c>
      <c r="Q531" t="str" cm="1">
        <f t="array" ref="Q531">_xlfn.IFS(ISBLANK(P531),"Not Specified",OR(P531="N",P531=FALSE,P531="no",P531=0),"no",TRUE,"yes")</f>
        <v>yes</v>
      </c>
      <c r="R531" s="5">
        <v>0.63</v>
      </c>
      <c r="S531">
        <f t="shared" si="44"/>
        <v>63</v>
      </c>
    </row>
    <row r="532" spans="1:19">
      <c r="A532" t="s">
        <v>1149</v>
      </c>
      <c r="B532" t="s">
        <v>1150</v>
      </c>
      <c r="C532" t="s">
        <v>99</v>
      </c>
      <c r="D532" t="str" cm="1">
        <f t="array" ref="D532">_xlfn.IFS(OR(LOWER(C532)="f",LOWER(C532)="female"),"Female",TRUE,"Male")</f>
        <v>Male</v>
      </c>
      <c r="E532">
        <v>28</v>
      </c>
      <c r="F532">
        <f t="shared" si="40"/>
        <v>28</v>
      </c>
      <c r="G532" t="s">
        <v>135</v>
      </c>
      <c r="H532" t="s">
        <v>29</v>
      </c>
      <c r="I532" t="s">
        <v>24</v>
      </c>
      <c r="J532">
        <v>5</v>
      </c>
      <c r="K532">
        <f t="shared" si="41"/>
        <v>5</v>
      </c>
      <c r="L532" t="s">
        <v>71</v>
      </c>
      <c r="M532" t="str">
        <f t="shared" si="42"/>
        <v>50</v>
      </c>
      <c r="N532">
        <v>0</v>
      </c>
      <c r="O532" s="3" t="str">
        <f t="shared" si="43"/>
        <v>Not Specified</v>
      </c>
      <c r="P532" t="s">
        <v>75</v>
      </c>
      <c r="Q532" t="str" cm="1">
        <f t="array" ref="Q532">_xlfn.IFS(ISBLANK(P532),"Not Specified",OR(P532="N",P532=FALSE,P532="no",P532=0),"no",TRUE,"yes")</f>
        <v>yes</v>
      </c>
      <c r="R532">
        <v>96</v>
      </c>
      <c r="S532">
        <f t="shared" si="44"/>
        <v>96</v>
      </c>
    </row>
    <row r="533" spans="1:19">
      <c r="A533" t="s">
        <v>1151</v>
      </c>
      <c r="B533" t="s">
        <v>1152</v>
      </c>
      <c r="C533" t="s">
        <v>46</v>
      </c>
      <c r="D533" t="str" cm="1">
        <f t="array" ref="D533">_xlfn.IFS(OR(LOWER(C533)="f",LOWER(C533)="female"),"Female",TRUE,"Male")</f>
        <v>Female</v>
      </c>
      <c r="E533">
        <v>48</v>
      </c>
      <c r="F533">
        <f t="shared" si="40"/>
        <v>48</v>
      </c>
      <c r="G533" t="s">
        <v>100</v>
      </c>
      <c r="H533" t="s">
        <v>101</v>
      </c>
      <c r="I533" t="s">
        <v>30</v>
      </c>
      <c r="J533">
        <v>28</v>
      </c>
      <c r="K533">
        <f t="shared" si="41"/>
        <v>28</v>
      </c>
      <c r="L533" t="s">
        <v>321</v>
      </c>
      <c r="M533" t="str">
        <f t="shared" si="42"/>
        <v> 20</v>
      </c>
      <c r="N533">
        <v>0</v>
      </c>
      <c r="O533" s="3" t="str">
        <f t="shared" si="43"/>
        <v>Not Specified</v>
      </c>
      <c r="P533">
        <v>0</v>
      </c>
      <c r="Q533" t="str" cm="1">
        <f t="array" ref="Q533">_xlfn.IFS(ISBLANK(P533),"Not Specified",OR(P533="N",P533=FALSE,P533="no",P533=0),"no",TRUE,"yes")</f>
        <v>no</v>
      </c>
      <c r="R533" s="5">
        <v>0.88</v>
      </c>
      <c r="S533">
        <f t="shared" si="44"/>
        <v>88</v>
      </c>
    </row>
    <row r="534" spans="1:19">
      <c r="A534" t="s">
        <v>1153</v>
      </c>
      <c r="B534" t="s">
        <v>1154</v>
      </c>
      <c r="C534" t="s">
        <v>68</v>
      </c>
      <c r="D534" t="str" cm="1">
        <f t="array" ref="D534">_xlfn.IFS(OR(LOWER(C534)="f",LOWER(C534)="female"),"Female",TRUE,"Male")</f>
        <v>Male</v>
      </c>
      <c r="E534">
        <v>22</v>
      </c>
      <c r="F534">
        <f t="shared" si="40"/>
        <v>22</v>
      </c>
      <c r="G534" t="s">
        <v>100</v>
      </c>
      <c r="H534" t="s">
        <v>101</v>
      </c>
      <c r="I534" t="s">
        <v>51</v>
      </c>
      <c r="J534">
        <v>0</v>
      </c>
      <c r="K534">
        <f t="shared" si="41"/>
        <v>0</v>
      </c>
      <c r="M534" t="str">
        <f t="shared" si="42"/>
        <v>Not Specified</v>
      </c>
      <c r="N534">
        <v>4.6</v>
      </c>
      <c r="O534" s="3">
        <f t="shared" si="43"/>
        <v>4.6</v>
      </c>
      <c r="P534" t="b">
        <v>0</v>
      </c>
      <c r="Q534" t="str" cm="1">
        <f t="array" ref="Q534">_xlfn.IFS(ISBLANK(P534),"Not Specified",OR(P534="N",P534=FALSE,P534="no",P534=0),"no",TRUE,"yes")</f>
        <v>no</v>
      </c>
      <c r="S534" t="str">
        <f t="shared" si="44"/>
        <v>Not Specified</v>
      </c>
    </row>
    <row r="535" spans="1:19">
      <c r="A535" t="s">
        <v>1155</v>
      </c>
      <c r="B535" t="s">
        <v>1156</v>
      </c>
      <c r="C535" t="s">
        <v>46</v>
      </c>
      <c r="D535" t="str" cm="1">
        <f t="array" ref="D535">_xlfn.IFS(OR(LOWER(C535)="f",LOWER(C535)="female"),"Female",TRUE,"Male")</f>
        <v>Female</v>
      </c>
      <c r="E535">
        <v>41</v>
      </c>
      <c r="F535">
        <f t="shared" si="40"/>
        <v>41</v>
      </c>
      <c r="G535" t="s">
        <v>35</v>
      </c>
      <c r="H535" t="s">
        <v>36</v>
      </c>
      <c r="I535" t="s">
        <v>42</v>
      </c>
      <c r="J535">
        <v>14</v>
      </c>
      <c r="K535">
        <f t="shared" si="41"/>
        <v>14</v>
      </c>
      <c r="L535">
        <v>40</v>
      </c>
      <c r="M535" t="str">
        <f t="shared" si="42"/>
        <v>40</v>
      </c>
      <c r="N535">
        <v>1.1</v>
      </c>
      <c r="O535" s="3">
        <f t="shared" si="43"/>
        <v>1.1</v>
      </c>
      <c r="P535" t="b">
        <v>1</v>
      </c>
      <c r="Q535" t="str" cm="1">
        <f t="array" ref="Q535">_xlfn.IFS(ISBLANK(P535),"Not Specified",OR(P535="N",P535=FALSE,P535="no",P535=0),"no",TRUE,"yes")</f>
        <v>yes</v>
      </c>
      <c r="R535" s="5">
        <v>0.73</v>
      </c>
      <c r="S535">
        <f t="shared" si="44"/>
        <v>73</v>
      </c>
    </row>
    <row r="536" spans="1:19">
      <c r="A536" t="s">
        <v>1157</v>
      </c>
      <c r="B536" t="s">
        <v>1158</v>
      </c>
      <c r="C536" t="s">
        <v>68</v>
      </c>
      <c r="D536" t="str" cm="1">
        <f t="array" ref="D536">_xlfn.IFS(OR(LOWER(C536)="f",LOWER(C536)="female"),"Female",TRUE,"Male")</f>
        <v>Male</v>
      </c>
      <c r="E536">
        <v>38</v>
      </c>
      <c r="F536">
        <f t="shared" si="40"/>
        <v>38</v>
      </c>
      <c r="G536" t="s">
        <v>65</v>
      </c>
      <c r="H536" t="s">
        <v>29</v>
      </c>
      <c r="I536" t="s">
        <v>37</v>
      </c>
      <c r="J536">
        <v>15</v>
      </c>
      <c r="K536">
        <f t="shared" si="41"/>
        <v>15</v>
      </c>
      <c r="M536" t="str">
        <f t="shared" si="42"/>
        <v>Not Specified</v>
      </c>
      <c r="N536">
        <v>4.2</v>
      </c>
      <c r="O536" s="3">
        <f t="shared" si="43"/>
        <v>4.2</v>
      </c>
      <c r="P536">
        <v>0</v>
      </c>
      <c r="Q536" t="str" cm="1">
        <f t="array" ref="Q536">_xlfn.IFS(ISBLANK(P536),"Not Specified",OR(P536="N",P536=FALSE,P536="no",P536=0),"no",TRUE,"yes")</f>
        <v>no</v>
      </c>
      <c r="R536" s="5">
        <v>0.88</v>
      </c>
      <c r="S536">
        <f t="shared" si="44"/>
        <v>88</v>
      </c>
    </row>
    <row r="537" spans="1:19">
      <c r="A537" t="s">
        <v>1159</v>
      </c>
      <c r="B537" t="s">
        <v>1160</v>
      </c>
      <c r="C537" t="s">
        <v>27</v>
      </c>
      <c r="D537" t="str" cm="1">
        <f t="array" ref="D537">_xlfn.IFS(OR(LOWER(C537)="f",LOWER(C537)="female"),"Female",TRUE,"Male")</f>
        <v>Female</v>
      </c>
      <c r="E537">
        <v>31</v>
      </c>
      <c r="F537">
        <f t="shared" si="40"/>
        <v>31</v>
      </c>
      <c r="G537" t="s">
        <v>160</v>
      </c>
      <c r="H537" t="s">
        <v>161</v>
      </c>
      <c r="I537" t="s">
        <v>80</v>
      </c>
      <c r="J537">
        <v>9</v>
      </c>
      <c r="K537">
        <f t="shared" si="41"/>
        <v>9</v>
      </c>
      <c r="M537" t="str">
        <f t="shared" si="42"/>
        <v>Not Specified</v>
      </c>
      <c r="N537">
        <v>0</v>
      </c>
      <c r="O537" s="3" t="str">
        <f t="shared" si="43"/>
        <v>Not Specified</v>
      </c>
      <c r="P537" t="b">
        <v>0</v>
      </c>
      <c r="Q537" t="str" cm="1">
        <f t="array" ref="Q537">_xlfn.IFS(ISBLANK(P537),"Not Specified",OR(P537="N",P537=FALSE,P537="no",P537=0),"no",TRUE,"yes")</f>
        <v>no</v>
      </c>
      <c r="R537" s="5">
        <v>0.91</v>
      </c>
      <c r="S537">
        <f t="shared" si="44"/>
        <v>91</v>
      </c>
    </row>
    <row r="538" spans="1:19">
      <c r="A538" t="s">
        <v>1161</v>
      </c>
      <c r="B538" t="s">
        <v>1162</v>
      </c>
      <c r="C538" t="s">
        <v>41</v>
      </c>
      <c r="D538" t="str" cm="1">
        <f t="array" ref="D538">_xlfn.IFS(OR(LOWER(C538)="f",LOWER(C538)="female"),"Female",TRUE,"Male")</f>
        <v>Female</v>
      </c>
      <c r="E538">
        <v>30</v>
      </c>
      <c r="F538">
        <f t="shared" si="40"/>
        <v>30</v>
      </c>
      <c r="G538" t="s">
        <v>182</v>
      </c>
      <c r="H538" t="s">
        <v>183</v>
      </c>
      <c r="I538" t="s">
        <v>30</v>
      </c>
      <c r="J538">
        <v>9</v>
      </c>
      <c r="K538">
        <f t="shared" si="41"/>
        <v>9</v>
      </c>
      <c r="L538" t="s">
        <v>52</v>
      </c>
      <c r="M538" t="str">
        <f t="shared" si="42"/>
        <v>30</v>
      </c>
      <c r="N538">
        <v>3.9</v>
      </c>
      <c r="O538" s="3">
        <f t="shared" si="43"/>
        <v>3.9</v>
      </c>
      <c r="P538" t="s">
        <v>166</v>
      </c>
      <c r="Q538" t="str" cm="1">
        <f t="array" ref="Q538">_xlfn.IFS(ISBLANK(P538),"Not Specified",OR(P538="N",P538=FALSE,P538="no",P538=0),"no",TRUE,"yes")</f>
        <v>no</v>
      </c>
      <c r="R538" s="5">
        <v>0.65</v>
      </c>
      <c r="S538">
        <f t="shared" si="44"/>
        <v>65</v>
      </c>
    </row>
    <row r="539" spans="1:19">
      <c r="A539" t="s">
        <v>1163</v>
      </c>
      <c r="B539" t="s">
        <v>1164</v>
      </c>
      <c r="C539" t="s">
        <v>68</v>
      </c>
      <c r="D539" t="str" cm="1">
        <f t="array" ref="D539">_xlfn.IFS(OR(LOWER(C539)="f",LOWER(C539)="female"),"Female",TRUE,"Male")</f>
        <v>Male</v>
      </c>
      <c r="E539">
        <v>51</v>
      </c>
      <c r="F539">
        <f t="shared" si="40"/>
        <v>51</v>
      </c>
      <c r="G539" t="s">
        <v>186</v>
      </c>
      <c r="H539" t="s">
        <v>79</v>
      </c>
      <c r="I539" t="s">
        <v>80</v>
      </c>
      <c r="J539">
        <v>22</v>
      </c>
      <c r="K539">
        <f t="shared" si="41"/>
        <v>22</v>
      </c>
      <c r="L539">
        <v>20</v>
      </c>
      <c r="M539" t="str">
        <f t="shared" si="42"/>
        <v>20</v>
      </c>
      <c r="N539">
        <v>3.4</v>
      </c>
      <c r="O539" s="3">
        <f t="shared" si="43"/>
        <v>3.4</v>
      </c>
      <c r="P539" t="b">
        <v>1</v>
      </c>
      <c r="Q539" t="str" cm="1">
        <f t="array" ref="Q539">_xlfn.IFS(ISBLANK(P539),"Not Specified",OR(P539="N",P539=FALSE,P539="no",P539=0),"no",TRUE,"yes")</f>
        <v>yes</v>
      </c>
      <c r="R539">
        <v>90</v>
      </c>
      <c r="S539">
        <f t="shared" si="44"/>
        <v>90</v>
      </c>
    </row>
    <row r="540" spans="1:19">
      <c r="A540" t="s">
        <v>1165</v>
      </c>
      <c r="B540" t="s">
        <v>1166</v>
      </c>
      <c r="C540" t="s">
        <v>21</v>
      </c>
      <c r="D540" t="str" cm="1">
        <f t="array" ref="D540">_xlfn.IFS(OR(LOWER(C540)="f",LOWER(C540)="female"),"Female",TRUE,"Male")</f>
        <v>Female</v>
      </c>
      <c r="E540">
        <v>21</v>
      </c>
      <c r="F540">
        <f t="shared" si="40"/>
        <v>21</v>
      </c>
      <c r="G540" t="s">
        <v>35</v>
      </c>
      <c r="H540" t="s">
        <v>36</v>
      </c>
      <c r="I540" t="s">
        <v>96</v>
      </c>
      <c r="J540">
        <v>0</v>
      </c>
      <c r="K540">
        <f t="shared" si="41"/>
        <v>0</v>
      </c>
      <c r="L540" t="s">
        <v>128</v>
      </c>
      <c r="M540" t="str">
        <f t="shared" si="42"/>
        <v>20</v>
      </c>
      <c r="N540">
        <v>2.6</v>
      </c>
      <c r="O540" s="3">
        <f t="shared" si="43"/>
        <v>2.6</v>
      </c>
      <c r="P540" t="s">
        <v>38</v>
      </c>
      <c r="Q540" t="str" cm="1">
        <f t="array" ref="Q540">_xlfn.IFS(ISBLANK(P540),"Not Specified",OR(P540="N",P540=FALSE,P540="no",P540=0),"no",TRUE,"yes")</f>
        <v>no</v>
      </c>
      <c r="R540" s="5">
        <v>0.72</v>
      </c>
      <c r="S540">
        <f t="shared" si="44"/>
        <v>72</v>
      </c>
    </row>
    <row r="541" spans="1:19">
      <c r="A541" t="s">
        <v>1167</v>
      </c>
      <c r="B541" t="s">
        <v>1168</v>
      </c>
      <c r="C541" t="s">
        <v>27</v>
      </c>
      <c r="D541" t="str" cm="1">
        <f t="array" ref="D541">_xlfn.IFS(OR(LOWER(C541)="f",LOWER(C541)="female"),"Female",TRUE,"Male")</f>
        <v>Female</v>
      </c>
      <c r="E541">
        <v>20</v>
      </c>
      <c r="F541">
        <f t="shared" si="40"/>
        <v>20</v>
      </c>
      <c r="G541" t="s">
        <v>22</v>
      </c>
      <c r="H541" t="s">
        <v>23</v>
      </c>
      <c r="I541" t="s">
        <v>96</v>
      </c>
      <c r="J541">
        <v>1</v>
      </c>
      <c r="K541">
        <f t="shared" si="41"/>
        <v>1</v>
      </c>
      <c r="L541" t="s">
        <v>62</v>
      </c>
      <c r="M541" t="str">
        <f t="shared" si="42"/>
        <v> 40</v>
      </c>
      <c r="N541">
        <v>2.3</v>
      </c>
      <c r="O541" s="3">
        <f t="shared" si="43"/>
        <v>2.3</v>
      </c>
      <c r="P541">
        <v>1</v>
      </c>
      <c r="Q541" t="str" cm="1">
        <f t="array" ref="Q541">_xlfn.IFS(ISBLANK(P541),"Not Specified",OR(P541="N",P541=FALSE,P541="no",P541=0),"no",TRUE,"yes")</f>
        <v>yes</v>
      </c>
      <c r="R541" s="5">
        <v>0.72</v>
      </c>
      <c r="S541">
        <f t="shared" si="44"/>
        <v>72</v>
      </c>
    </row>
    <row r="542" spans="1:19">
      <c r="A542" t="s">
        <v>1169</v>
      </c>
      <c r="B542" t="s">
        <v>1170</v>
      </c>
      <c r="C542" t="s">
        <v>104</v>
      </c>
      <c r="D542" t="str" cm="1">
        <f t="array" ref="D542">_xlfn.IFS(OR(LOWER(C542)="f",LOWER(C542)="female"),"Female",TRUE,"Male")</f>
        <v>Male</v>
      </c>
      <c r="E542">
        <v>30</v>
      </c>
      <c r="F542">
        <f t="shared" si="40"/>
        <v>30</v>
      </c>
      <c r="G542" t="s">
        <v>92</v>
      </c>
      <c r="H542" t="s">
        <v>93</v>
      </c>
      <c r="I542" t="s">
        <v>24</v>
      </c>
      <c r="J542">
        <v>5</v>
      </c>
      <c r="K542">
        <f t="shared" si="41"/>
        <v>5</v>
      </c>
      <c r="L542" t="s">
        <v>52</v>
      </c>
      <c r="M542" t="str">
        <f t="shared" si="42"/>
        <v>30</v>
      </c>
      <c r="N542">
        <v>4.8</v>
      </c>
      <c r="O542" s="3">
        <f t="shared" si="43"/>
        <v>4.8</v>
      </c>
      <c r="P542" t="s">
        <v>38</v>
      </c>
      <c r="Q542" t="str" cm="1">
        <f t="array" ref="Q542">_xlfn.IFS(ISBLANK(P542),"Not Specified",OR(P542="N",P542=FALSE,P542="no",P542=0),"no",TRUE,"yes")</f>
        <v>no</v>
      </c>
      <c r="S542" t="str">
        <f t="shared" si="44"/>
        <v>Not Specified</v>
      </c>
    </row>
    <row r="543" spans="1:19">
      <c r="A543" t="s">
        <v>1171</v>
      </c>
      <c r="B543" t="s">
        <v>1172</v>
      </c>
      <c r="C543" t="s">
        <v>68</v>
      </c>
      <c r="D543" t="str" cm="1">
        <f t="array" ref="D543">_xlfn.IFS(OR(LOWER(C543)="f",LOWER(C543)="female"),"Female",TRUE,"Male")</f>
        <v>Male</v>
      </c>
      <c r="E543">
        <v>41</v>
      </c>
      <c r="F543">
        <f t="shared" si="40"/>
        <v>41</v>
      </c>
      <c r="G543" t="s">
        <v>182</v>
      </c>
      <c r="H543" t="s">
        <v>183</v>
      </c>
      <c r="I543" t="s">
        <v>58</v>
      </c>
      <c r="J543">
        <v>0</v>
      </c>
      <c r="K543">
        <f t="shared" si="41"/>
        <v>0</v>
      </c>
      <c r="L543" t="s">
        <v>62</v>
      </c>
      <c r="M543" t="str">
        <f t="shared" si="42"/>
        <v> 40</v>
      </c>
      <c r="N543">
        <v>4.5</v>
      </c>
      <c r="O543" s="3">
        <f t="shared" si="43"/>
        <v>4.5</v>
      </c>
      <c r="P543" t="s">
        <v>38</v>
      </c>
      <c r="Q543" t="str" cm="1">
        <f t="array" ref="Q543">_xlfn.IFS(ISBLANK(P543),"Not Specified",OR(P543="N",P543=FALSE,P543="no",P543=0),"no",TRUE,"yes")</f>
        <v>no</v>
      </c>
      <c r="R543" s="5">
        <v>0.68</v>
      </c>
      <c r="S543">
        <f t="shared" si="44"/>
        <v>68</v>
      </c>
    </row>
    <row r="544" spans="1:19">
      <c r="A544" t="s">
        <v>1173</v>
      </c>
      <c r="B544" t="s">
        <v>1174</v>
      </c>
      <c r="C544" t="s">
        <v>104</v>
      </c>
      <c r="D544" t="str" cm="1">
        <f t="array" ref="D544">_xlfn.IFS(OR(LOWER(C544)="f",LOWER(C544)="female"),"Female",TRUE,"Male")</f>
        <v>Male</v>
      </c>
      <c r="E544">
        <v>22</v>
      </c>
      <c r="F544">
        <f t="shared" si="40"/>
        <v>22</v>
      </c>
      <c r="G544" t="s">
        <v>197</v>
      </c>
      <c r="H544" t="s">
        <v>79</v>
      </c>
      <c r="I544" t="s">
        <v>24</v>
      </c>
      <c r="J544">
        <v>0</v>
      </c>
      <c r="K544">
        <f t="shared" si="41"/>
        <v>0</v>
      </c>
      <c r="L544" t="s">
        <v>52</v>
      </c>
      <c r="M544" t="str">
        <f t="shared" si="42"/>
        <v>30</v>
      </c>
      <c r="N544">
        <v>0</v>
      </c>
      <c r="O544" s="3" t="str">
        <f t="shared" si="43"/>
        <v>Not Specified</v>
      </c>
      <c r="P544">
        <v>0</v>
      </c>
      <c r="Q544" t="str" cm="1">
        <f t="array" ref="Q544">_xlfn.IFS(ISBLANK(P544),"Not Specified",OR(P544="N",P544=FALSE,P544="no",P544=0),"no",TRUE,"yes")</f>
        <v>no</v>
      </c>
      <c r="R544" s="5">
        <v>0.87</v>
      </c>
      <c r="S544">
        <f t="shared" si="44"/>
        <v>87</v>
      </c>
    </row>
    <row r="545" spans="1:19">
      <c r="A545" t="s">
        <v>1175</v>
      </c>
      <c r="B545" t="s">
        <v>1176</v>
      </c>
      <c r="C545" t="s">
        <v>68</v>
      </c>
      <c r="D545" t="str" cm="1">
        <f t="array" ref="D545">_xlfn.IFS(OR(LOWER(C545)="f",LOWER(C545)="female"),"Female",TRUE,"Male")</f>
        <v>Male</v>
      </c>
      <c r="E545">
        <v>45</v>
      </c>
      <c r="F545">
        <f t="shared" si="40"/>
        <v>45</v>
      </c>
      <c r="G545" t="s">
        <v>186</v>
      </c>
      <c r="H545" t="s">
        <v>79</v>
      </c>
      <c r="I545" t="s">
        <v>85</v>
      </c>
      <c r="J545">
        <v>19</v>
      </c>
      <c r="K545">
        <f t="shared" si="41"/>
        <v>19</v>
      </c>
      <c r="L545">
        <v>75</v>
      </c>
      <c r="M545" t="str">
        <f t="shared" si="42"/>
        <v>75</v>
      </c>
      <c r="N545">
        <v>0</v>
      </c>
      <c r="O545" s="3" t="str">
        <f t="shared" si="43"/>
        <v>Not Specified</v>
      </c>
      <c r="P545" t="s">
        <v>166</v>
      </c>
      <c r="Q545" t="str" cm="1">
        <f t="array" ref="Q545">_xlfn.IFS(ISBLANK(P545),"Not Specified",OR(P545="N",P545=FALSE,P545="no",P545=0),"no",TRUE,"yes")</f>
        <v>no</v>
      </c>
      <c r="R545" s="5">
        <v>0.72</v>
      </c>
      <c r="S545">
        <f t="shared" si="44"/>
        <v>72</v>
      </c>
    </row>
    <row r="546" spans="1:19">
      <c r="A546" t="s">
        <v>1177</v>
      </c>
      <c r="B546" t="s">
        <v>1178</v>
      </c>
      <c r="C546" t="s">
        <v>84</v>
      </c>
      <c r="D546" t="str" cm="1">
        <f t="array" ref="D546">_xlfn.IFS(OR(LOWER(C546)="f",LOWER(C546)="female"),"Female",TRUE,"Male")</f>
        <v>Female</v>
      </c>
      <c r="E546">
        <v>22</v>
      </c>
      <c r="F546">
        <f t="shared" si="40"/>
        <v>22</v>
      </c>
      <c r="G546" t="s">
        <v>28</v>
      </c>
      <c r="H546" t="s">
        <v>29</v>
      </c>
      <c r="I546" t="s">
        <v>58</v>
      </c>
      <c r="J546">
        <v>2</v>
      </c>
      <c r="K546">
        <f t="shared" si="41"/>
        <v>2</v>
      </c>
      <c r="L546">
        <v>40</v>
      </c>
      <c r="M546" t="str">
        <f t="shared" si="42"/>
        <v>40</v>
      </c>
      <c r="N546">
        <v>1.1</v>
      </c>
      <c r="O546" s="3">
        <f t="shared" si="43"/>
        <v>1.1</v>
      </c>
      <c r="P546" t="s">
        <v>166</v>
      </c>
      <c r="Q546" t="str" cm="1">
        <f t="array" ref="Q546">_xlfn.IFS(ISBLANK(P546),"Not Specified",OR(P546="N",P546=FALSE,P546="no",P546=0),"no",TRUE,"yes")</f>
        <v>no</v>
      </c>
      <c r="R546" s="5">
        <v>0.76</v>
      </c>
      <c r="S546">
        <f t="shared" si="44"/>
        <v>76</v>
      </c>
    </row>
    <row r="547" spans="1:19">
      <c r="A547" t="s">
        <v>1179</v>
      </c>
      <c r="B547" t="s">
        <v>1180</v>
      </c>
      <c r="C547" t="s">
        <v>21</v>
      </c>
      <c r="D547" t="str" cm="1">
        <f t="array" ref="D547">_xlfn.IFS(OR(LOWER(C547)="f",LOWER(C547)="female"),"Female",TRUE,"Male")</f>
        <v>Female</v>
      </c>
      <c r="E547">
        <v>20</v>
      </c>
      <c r="F547">
        <f t="shared" si="40"/>
        <v>20</v>
      </c>
      <c r="G547" t="s">
        <v>69</v>
      </c>
      <c r="H547" t="s">
        <v>70</v>
      </c>
      <c r="I547" t="s">
        <v>30</v>
      </c>
      <c r="J547">
        <v>0</v>
      </c>
      <c r="K547">
        <f t="shared" si="41"/>
        <v>0</v>
      </c>
      <c r="L547">
        <v>100</v>
      </c>
      <c r="M547" t="str">
        <f t="shared" si="42"/>
        <v>100</v>
      </c>
      <c r="N547">
        <v>0</v>
      </c>
      <c r="O547" s="3" t="str">
        <f t="shared" si="43"/>
        <v>Not Specified</v>
      </c>
      <c r="P547">
        <v>0</v>
      </c>
      <c r="Q547" t="str" cm="1">
        <f t="array" ref="Q547">_xlfn.IFS(ISBLANK(P547),"Not Specified",OR(P547="N",P547=FALSE,P547="no",P547=0),"no",TRUE,"yes")</f>
        <v>no</v>
      </c>
      <c r="R547">
        <v>63</v>
      </c>
      <c r="S547">
        <f t="shared" si="44"/>
        <v>63</v>
      </c>
    </row>
    <row r="548" spans="1:19">
      <c r="A548" t="s">
        <v>1181</v>
      </c>
      <c r="B548" t="s">
        <v>1182</v>
      </c>
      <c r="C548" t="s">
        <v>27</v>
      </c>
      <c r="D548" t="str" cm="1">
        <f t="array" ref="D548">_xlfn.IFS(OR(LOWER(C548)="f",LOWER(C548)="female"),"Female",TRUE,"Male")</f>
        <v>Female</v>
      </c>
      <c r="E548">
        <v>20</v>
      </c>
      <c r="F548">
        <f t="shared" si="40"/>
        <v>20</v>
      </c>
      <c r="G548" t="s">
        <v>135</v>
      </c>
      <c r="H548" t="s">
        <v>29</v>
      </c>
      <c r="I548" t="s">
        <v>58</v>
      </c>
      <c r="J548">
        <v>2</v>
      </c>
      <c r="K548">
        <f t="shared" si="41"/>
        <v>2</v>
      </c>
      <c r="L548">
        <v>40</v>
      </c>
      <c r="M548" t="str">
        <f t="shared" si="42"/>
        <v>40</v>
      </c>
      <c r="O548" s="3" t="str">
        <f t="shared" si="43"/>
        <v>Not Specified</v>
      </c>
      <c r="P548">
        <v>1</v>
      </c>
      <c r="Q548" t="str" cm="1">
        <f t="array" ref="Q548">_xlfn.IFS(ISBLANK(P548),"Not Specified",OR(P548="N",P548=FALSE,P548="no",P548=0),"no",TRUE,"yes")</f>
        <v>yes</v>
      </c>
      <c r="R548" s="5">
        <v>0.91</v>
      </c>
      <c r="S548">
        <f t="shared" si="44"/>
        <v>91</v>
      </c>
    </row>
    <row r="549" spans="1:19">
      <c r="A549" t="s">
        <v>1183</v>
      </c>
      <c r="B549" t="s">
        <v>1184</v>
      </c>
      <c r="C549" t="s">
        <v>99</v>
      </c>
      <c r="D549" t="str" cm="1">
        <f t="array" ref="D549">_xlfn.IFS(OR(LOWER(C549)="f",LOWER(C549)="female"),"Female",TRUE,"Male")</f>
        <v>Male</v>
      </c>
      <c r="E549">
        <v>21</v>
      </c>
      <c r="F549">
        <f t="shared" si="40"/>
        <v>21</v>
      </c>
      <c r="G549" t="s">
        <v>74</v>
      </c>
      <c r="H549" t="s">
        <v>29</v>
      </c>
      <c r="I549" t="s">
        <v>51</v>
      </c>
      <c r="J549">
        <v>0</v>
      </c>
      <c r="K549">
        <f t="shared" si="41"/>
        <v>0</v>
      </c>
      <c r="L549">
        <v>100</v>
      </c>
      <c r="M549" t="str">
        <f t="shared" si="42"/>
        <v>100</v>
      </c>
      <c r="O549" s="3" t="str">
        <f t="shared" si="43"/>
        <v>Not Specified</v>
      </c>
      <c r="P549">
        <v>0</v>
      </c>
      <c r="Q549" t="str" cm="1">
        <f t="array" ref="Q549">_xlfn.IFS(ISBLANK(P549),"Not Specified",OR(P549="N",P549=FALSE,P549="no",P549=0),"no",TRUE,"yes")</f>
        <v>no</v>
      </c>
      <c r="R549" s="5">
        <v>0.73</v>
      </c>
      <c r="S549">
        <f t="shared" si="44"/>
        <v>73</v>
      </c>
    </row>
    <row r="550" spans="1:19">
      <c r="A550" t="s">
        <v>1185</v>
      </c>
      <c r="B550" t="s">
        <v>1186</v>
      </c>
      <c r="C550" t="s">
        <v>104</v>
      </c>
      <c r="D550" t="str" cm="1">
        <f t="array" ref="D550">_xlfn.IFS(OR(LOWER(C550)="f",LOWER(C550)="female"),"Female",TRUE,"Male")</f>
        <v>Male</v>
      </c>
      <c r="E550">
        <v>22</v>
      </c>
      <c r="F550">
        <f t="shared" si="40"/>
        <v>22</v>
      </c>
      <c r="G550" t="s">
        <v>49</v>
      </c>
      <c r="H550" t="s">
        <v>50</v>
      </c>
      <c r="I550" t="s">
        <v>85</v>
      </c>
      <c r="J550">
        <v>1</v>
      </c>
      <c r="K550">
        <f t="shared" si="41"/>
        <v>1</v>
      </c>
      <c r="L550">
        <v>40</v>
      </c>
      <c r="M550" t="str">
        <f t="shared" si="42"/>
        <v>40</v>
      </c>
      <c r="N550">
        <v>0</v>
      </c>
      <c r="O550" s="3" t="str">
        <f t="shared" si="43"/>
        <v>Not Specified</v>
      </c>
      <c r="P550">
        <v>0</v>
      </c>
      <c r="Q550" t="str" cm="1">
        <f t="array" ref="Q550">_xlfn.IFS(ISBLANK(P550),"Not Specified",OR(P550="N",P550=FALSE,P550="no",P550=0),"no",TRUE,"yes")</f>
        <v>no</v>
      </c>
      <c r="R550" s="5">
        <v>0.63</v>
      </c>
      <c r="S550">
        <f t="shared" si="44"/>
        <v>63</v>
      </c>
    </row>
    <row r="551" spans="1:19">
      <c r="A551" t="s">
        <v>1187</v>
      </c>
      <c r="B551" t="s">
        <v>1188</v>
      </c>
      <c r="C551" t="s">
        <v>41</v>
      </c>
      <c r="D551" t="str" cm="1">
        <f t="array" ref="D551">_xlfn.IFS(OR(LOWER(C551)="f",LOWER(C551)="female"),"Female",TRUE,"Male")</f>
        <v>Female</v>
      </c>
      <c r="E551">
        <v>28</v>
      </c>
      <c r="F551">
        <f t="shared" si="40"/>
        <v>28</v>
      </c>
      <c r="G551" t="s">
        <v>74</v>
      </c>
      <c r="H551" t="s">
        <v>29</v>
      </c>
      <c r="I551" t="s">
        <v>96</v>
      </c>
      <c r="J551">
        <v>3</v>
      </c>
      <c r="K551">
        <f t="shared" si="41"/>
        <v>3</v>
      </c>
      <c r="L551" t="s">
        <v>321</v>
      </c>
      <c r="M551" t="str">
        <f t="shared" si="42"/>
        <v> 20</v>
      </c>
      <c r="O551" s="3" t="str">
        <f t="shared" si="43"/>
        <v>Not Specified</v>
      </c>
      <c r="P551">
        <v>1</v>
      </c>
      <c r="Q551" t="str" cm="1">
        <f t="array" ref="Q551">_xlfn.IFS(ISBLANK(P551),"Not Specified",OR(P551="N",P551=FALSE,P551="no",P551=0),"no",TRUE,"yes")</f>
        <v>yes</v>
      </c>
      <c r="R551" s="5">
        <v>0.79</v>
      </c>
      <c r="S551">
        <f t="shared" si="44"/>
        <v>79</v>
      </c>
    </row>
    <row r="552" spans="1:19">
      <c r="A552" t="s">
        <v>1189</v>
      </c>
      <c r="B552" t="s">
        <v>1190</v>
      </c>
      <c r="C552" t="s">
        <v>41</v>
      </c>
      <c r="D552" t="str" cm="1">
        <f t="array" ref="D552">_xlfn.IFS(OR(LOWER(C552)="f",LOWER(C552)="female"),"Female",TRUE,"Male")</f>
        <v>Female</v>
      </c>
      <c r="E552">
        <v>59</v>
      </c>
      <c r="F552">
        <f t="shared" si="40"/>
        <v>59</v>
      </c>
      <c r="G552" t="s">
        <v>78</v>
      </c>
      <c r="H552" t="s">
        <v>79</v>
      </c>
      <c r="I552" t="s">
        <v>51</v>
      </c>
      <c r="K552" t="str">
        <f t="shared" si="41"/>
        <v>Not Specified</v>
      </c>
      <c r="L552">
        <v>20</v>
      </c>
      <c r="M552" t="str">
        <f t="shared" si="42"/>
        <v>20</v>
      </c>
      <c r="N552">
        <v>4.1</v>
      </c>
      <c r="O552" s="3">
        <f t="shared" si="43"/>
        <v>4.1</v>
      </c>
      <c r="P552">
        <v>0</v>
      </c>
      <c r="Q552" t="str" cm="1">
        <f t="array" ref="Q552">_xlfn.IFS(ISBLANK(P552),"Not Specified",OR(P552="N",P552=FALSE,P552="no",P552=0),"no",TRUE,"yes")</f>
        <v>no</v>
      </c>
      <c r="R552">
        <v>75</v>
      </c>
      <c r="S552">
        <f t="shared" si="44"/>
        <v>75</v>
      </c>
    </row>
    <row r="553" spans="1:19">
      <c r="A553" t="s">
        <v>1191</v>
      </c>
      <c r="B553" t="s">
        <v>1192</v>
      </c>
      <c r="C553" t="s">
        <v>46</v>
      </c>
      <c r="D553" t="str" cm="1">
        <f t="array" ref="D553">_xlfn.IFS(OR(LOWER(C553)="f",LOWER(C553)="female"),"Female",TRUE,"Male")</f>
        <v>Female</v>
      </c>
      <c r="E553">
        <v>28</v>
      </c>
      <c r="F553">
        <f t="shared" si="40"/>
        <v>28</v>
      </c>
      <c r="G553" t="s">
        <v>142</v>
      </c>
      <c r="H553" t="s">
        <v>143</v>
      </c>
      <c r="I553" t="s">
        <v>42</v>
      </c>
      <c r="J553">
        <v>1</v>
      </c>
      <c r="K553">
        <f t="shared" si="41"/>
        <v>1</v>
      </c>
      <c r="M553" t="str">
        <f t="shared" si="42"/>
        <v>Not Specified</v>
      </c>
      <c r="N553">
        <v>0</v>
      </c>
      <c r="O553" s="3" t="str">
        <f t="shared" si="43"/>
        <v>Not Specified</v>
      </c>
      <c r="P553">
        <v>0</v>
      </c>
      <c r="Q553" t="str" cm="1">
        <f t="array" ref="Q553">_xlfn.IFS(ISBLANK(P553),"Not Specified",OR(P553="N",P553=FALSE,P553="no",P553=0),"no",TRUE,"yes")</f>
        <v>no</v>
      </c>
      <c r="R553" s="5">
        <v>0.7</v>
      </c>
      <c r="S553">
        <f t="shared" si="44"/>
        <v>70</v>
      </c>
    </row>
    <row r="554" spans="1:19">
      <c r="A554" t="s">
        <v>1193</v>
      </c>
      <c r="B554" t="s">
        <v>1194</v>
      </c>
      <c r="C554" t="s">
        <v>41</v>
      </c>
      <c r="D554" t="str" cm="1">
        <f t="array" ref="D554">_xlfn.IFS(OR(LOWER(C554)="f",LOWER(C554)="female"),"Female",TRUE,"Male")</f>
        <v>Female</v>
      </c>
      <c r="E554">
        <v>40</v>
      </c>
      <c r="F554">
        <f t="shared" si="40"/>
        <v>40</v>
      </c>
      <c r="G554" t="s">
        <v>28</v>
      </c>
      <c r="H554" t="s">
        <v>29</v>
      </c>
      <c r="I554" t="s">
        <v>96</v>
      </c>
      <c r="J554">
        <v>0</v>
      </c>
      <c r="K554">
        <f t="shared" si="41"/>
        <v>0</v>
      </c>
      <c r="L554" t="s">
        <v>236</v>
      </c>
      <c r="M554" t="str">
        <f t="shared" si="42"/>
        <v>100</v>
      </c>
      <c r="N554">
        <v>1.2</v>
      </c>
      <c r="O554" s="3">
        <f t="shared" si="43"/>
        <v>1.2</v>
      </c>
      <c r="Q554" t="str" cm="1">
        <f t="array" ref="Q554">_xlfn.IFS(ISBLANK(P554),"Not Specified",OR(P554="N",P554=FALSE,P554="no",P554=0),"no",TRUE,"yes")</f>
        <v>Not Specified</v>
      </c>
      <c r="R554" s="5">
        <v>0.87</v>
      </c>
      <c r="S554">
        <f t="shared" si="44"/>
        <v>87</v>
      </c>
    </row>
    <row r="555" spans="1:19">
      <c r="A555" t="s">
        <v>1195</v>
      </c>
      <c r="B555" t="s">
        <v>1196</v>
      </c>
      <c r="C555" t="s">
        <v>99</v>
      </c>
      <c r="D555" t="str" cm="1">
        <f t="array" ref="D555">_xlfn.IFS(OR(LOWER(C555)="f",LOWER(C555)="female"),"Female",TRUE,"Male")</f>
        <v>Male</v>
      </c>
      <c r="E555">
        <v>57</v>
      </c>
      <c r="F555">
        <f t="shared" si="40"/>
        <v>57</v>
      </c>
      <c r="G555" t="s">
        <v>22</v>
      </c>
      <c r="H555" t="s">
        <v>23</v>
      </c>
      <c r="I555" t="s">
        <v>24</v>
      </c>
      <c r="J555">
        <v>7</v>
      </c>
      <c r="K555">
        <f t="shared" si="41"/>
        <v>7</v>
      </c>
      <c r="L555">
        <v>30</v>
      </c>
      <c r="M555" t="str">
        <f t="shared" si="42"/>
        <v>30</v>
      </c>
      <c r="N555">
        <v>1.6</v>
      </c>
      <c r="O555" s="3">
        <f t="shared" si="43"/>
        <v>1.6</v>
      </c>
      <c r="P555" t="s">
        <v>166</v>
      </c>
      <c r="Q555" t="str" cm="1">
        <f t="array" ref="Q555">_xlfn.IFS(ISBLANK(P555),"Not Specified",OR(P555="N",P555=FALSE,P555="no",P555=0),"no",TRUE,"yes")</f>
        <v>no</v>
      </c>
      <c r="S555" t="str">
        <f t="shared" si="44"/>
        <v>Not Specified</v>
      </c>
    </row>
    <row r="556" spans="1:19">
      <c r="A556" t="s">
        <v>1197</v>
      </c>
      <c r="B556" t="s">
        <v>1198</v>
      </c>
      <c r="C556" t="s">
        <v>68</v>
      </c>
      <c r="D556" t="str" cm="1">
        <f t="array" ref="D556">_xlfn.IFS(OR(LOWER(C556)="f",LOWER(C556)="female"),"Female",TRUE,"Male")</f>
        <v>Male</v>
      </c>
      <c r="E556">
        <v>47</v>
      </c>
      <c r="F556">
        <f t="shared" si="40"/>
        <v>47</v>
      </c>
      <c r="G556" t="s">
        <v>69</v>
      </c>
      <c r="H556" t="s">
        <v>70</v>
      </c>
      <c r="I556" t="s">
        <v>96</v>
      </c>
      <c r="J556">
        <v>1</v>
      </c>
      <c r="K556">
        <f t="shared" si="41"/>
        <v>1</v>
      </c>
      <c r="L556">
        <v>50</v>
      </c>
      <c r="M556" t="str">
        <f t="shared" si="42"/>
        <v>50</v>
      </c>
      <c r="N556">
        <v>3.9</v>
      </c>
      <c r="O556" s="3">
        <f t="shared" si="43"/>
        <v>3.9</v>
      </c>
      <c r="P556" t="s">
        <v>81</v>
      </c>
      <c r="Q556" t="str" cm="1">
        <f t="array" ref="Q556">_xlfn.IFS(ISBLANK(P556),"Not Specified",OR(P556="N",P556=FALSE,P556="no",P556=0),"no",TRUE,"yes")</f>
        <v>yes</v>
      </c>
      <c r="R556" s="5">
        <v>0.88</v>
      </c>
      <c r="S556">
        <f t="shared" si="44"/>
        <v>88</v>
      </c>
    </row>
    <row r="557" spans="1:19">
      <c r="A557" t="s">
        <v>1199</v>
      </c>
      <c r="B557" t="s">
        <v>1200</v>
      </c>
      <c r="C557" t="s">
        <v>34</v>
      </c>
      <c r="D557" t="str" cm="1">
        <f t="array" ref="D557">_xlfn.IFS(OR(LOWER(C557)="f",LOWER(C557)="female"),"Female",TRUE,"Male")</f>
        <v>Male</v>
      </c>
      <c r="E557">
        <v>48</v>
      </c>
      <c r="F557">
        <f t="shared" si="40"/>
        <v>48</v>
      </c>
      <c r="G557" t="s">
        <v>119</v>
      </c>
      <c r="H557" t="s">
        <v>120</v>
      </c>
      <c r="I557" t="s">
        <v>85</v>
      </c>
      <c r="J557">
        <v>21</v>
      </c>
      <c r="K557">
        <f t="shared" si="41"/>
        <v>21</v>
      </c>
      <c r="L557">
        <v>40</v>
      </c>
      <c r="M557" t="str">
        <f t="shared" si="42"/>
        <v>40</v>
      </c>
      <c r="N557">
        <v>0</v>
      </c>
      <c r="O557" s="3" t="str">
        <f t="shared" si="43"/>
        <v>Not Specified</v>
      </c>
      <c r="P557">
        <v>1</v>
      </c>
      <c r="Q557" t="str" cm="1">
        <f t="array" ref="Q557">_xlfn.IFS(ISBLANK(P557),"Not Specified",OR(P557="N",P557=FALSE,P557="no",P557=0),"no",TRUE,"yes")</f>
        <v>yes</v>
      </c>
      <c r="S557" t="str">
        <f t="shared" si="44"/>
        <v>Not Specified</v>
      </c>
    </row>
    <row r="558" spans="1:19">
      <c r="A558" t="s">
        <v>1201</v>
      </c>
      <c r="B558" t="s">
        <v>1202</v>
      </c>
      <c r="C558" t="s">
        <v>104</v>
      </c>
      <c r="D558" t="str" cm="1">
        <f t="array" ref="D558">_xlfn.IFS(OR(LOWER(C558)="f",LOWER(C558)="female"),"Female",TRUE,"Male")</f>
        <v>Male</v>
      </c>
      <c r="E558">
        <v>28</v>
      </c>
      <c r="F558">
        <f t="shared" si="40"/>
        <v>28</v>
      </c>
      <c r="G558" t="s">
        <v>65</v>
      </c>
      <c r="H558" t="s">
        <v>29</v>
      </c>
      <c r="I558" t="s">
        <v>80</v>
      </c>
      <c r="J558">
        <v>1</v>
      </c>
      <c r="K558">
        <f t="shared" si="41"/>
        <v>1</v>
      </c>
      <c r="L558" t="s">
        <v>321</v>
      </c>
      <c r="M558" t="str">
        <f t="shared" si="42"/>
        <v> 20</v>
      </c>
      <c r="N558">
        <v>4.7</v>
      </c>
      <c r="O558" s="3">
        <f t="shared" si="43"/>
        <v>4.7</v>
      </c>
      <c r="P558" t="b">
        <v>0</v>
      </c>
      <c r="Q558" t="str" cm="1">
        <f t="array" ref="Q558">_xlfn.IFS(ISBLANK(P558),"Not Specified",OR(P558="N",P558=FALSE,P558="no",P558=0),"no",TRUE,"yes")</f>
        <v>no</v>
      </c>
      <c r="R558" s="5">
        <v>0.93</v>
      </c>
      <c r="S558">
        <f t="shared" si="44"/>
        <v>93</v>
      </c>
    </row>
    <row r="559" spans="1:19">
      <c r="A559" t="s">
        <v>1203</v>
      </c>
      <c r="B559" t="s">
        <v>1204</v>
      </c>
      <c r="C559" t="s">
        <v>99</v>
      </c>
      <c r="D559" t="str" cm="1">
        <f t="array" ref="D559">_xlfn.IFS(OR(LOWER(C559)="f",LOWER(C559)="female"),"Female",TRUE,"Male")</f>
        <v>Male</v>
      </c>
      <c r="E559">
        <v>41</v>
      </c>
      <c r="F559">
        <f t="shared" si="40"/>
        <v>41</v>
      </c>
      <c r="G559" t="s">
        <v>69</v>
      </c>
      <c r="H559" t="s">
        <v>70</v>
      </c>
      <c r="I559" t="s">
        <v>37</v>
      </c>
      <c r="J559">
        <v>15</v>
      </c>
      <c r="K559">
        <f t="shared" si="41"/>
        <v>15</v>
      </c>
      <c r="M559" t="str">
        <f t="shared" si="42"/>
        <v>Not Specified</v>
      </c>
      <c r="N559">
        <v>3.8</v>
      </c>
      <c r="O559" s="3">
        <f t="shared" si="43"/>
        <v>3.8</v>
      </c>
      <c r="P559">
        <v>1</v>
      </c>
      <c r="Q559" t="str" cm="1">
        <f t="array" ref="Q559">_xlfn.IFS(ISBLANK(P559),"Not Specified",OR(P559="N",P559=FALSE,P559="no",P559=0),"no",TRUE,"yes")</f>
        <v>yes</v>
      </c>
      <c r="S559" t="str">
        <f t="shared" si="44"/>
        <v>Not Specified</v>
      </c>
    </row>
    <row r="560" spans="1:19">
      <c r="A560" t="s">
        <v>1205</v>
      </c>
      <c r="B560" t="s">
        <v>1206</v>
      </c>
      <c r="C560" t="s">
        <v>21</v>
      </c>
      <c r="D560" t="str" cm="1">
        <f t="array" ref="D560">_xlfn.IFS(OR(LOWER(C560)="f",LOWER(C560)="female"),"Female",TRUE,"Male")</f>
        <v>Female</v>
      </c>
      <c r="E560">
        <v>57</v>
      </c>
      <c r="F560">
        <f t="shared" si="40"/>
        <v>57</v>
      </c>
      <c r="G560" t="s">
        <v>160</v>
      </c>
      <c r="H560" t="s">
        <v>161</v>
      </c>
      <c r="I560" t="s">
        <v>85</v>
      </c>
      <c r="J560">
        <v>33</v>
      </c>
      <c r="K560">
        <f t="shared" si="41"/>
        <v>33</v>
      </c>
      <c r="L560">
        <v>100</v>
      </c>
      <c r="M560" t="str">
        <f t="shared" si="42"/>
        <v>100</v>
      </c>
      <c r="N560">
        <v>3.5</v>
      </c>
      <c r="O560" s="3">
        <f t="shared" si="43"/>
        <v>3.5</v>
      </c>
      <c r="P560" t="s">
        <v>166</v>
      </c>
      <c r="Q560" t="str" cm="1">
        <f t="array" ref="Q560">_xlfn.IFS(ISBLANK(P560),"Not Specified",OR(P560="N",P560=FALSE,P560="no",P560=0),"no",TRUE,"yes")</f>
        <v>no</v>
      </c>
      <c r="R560" s="5">
        <v>0.74</v>
      </c>
      <c r="S560">
        <f t="shared" si="44"/>
        <v>74</v>
      </c>
    </row>
    <row r="561" spans="1:19">
      <c r="A561" t="s">
        <v>1207</v>
      </c>
      <c r="B561" t="s">
        <v>1208</v>
      </c>
      <c r="C561" t="s">
        <v>34</v>
      </c>
      <c r="D561" t="str" cm="1">
        <f t="array" ref="D561">_xlfn.IFS(OR(LOWER(C561)="f",LOWER(C561)="female"),"Female",TRUE,"Male")</f>
        <v>Male</v>
      </c>
      <c r="E561">
        <v>60</v>
      </c>
      <c r="F561">
        <f t="shared" si="40"/>
        <v>60</v>
      </c>
      <c r="G561" t="s">
        <v>78</v>
      </c>
      <c r="H561" t="s">
        <v>79</v>
      </c>
      <c r="I561" t="s">
        <v>37</v>
      </c>
      <c r="J561">
        <v>39</v>
      </c>
      <c r="K561">
        <f t="shared" si="41"/>
        <v>39</v>
      </c>
      <c r="L561" t="s">
        <v>59</v>
      </c>
      <c r="M561" t="str">
        <f t="shared" si="42"/>
        <v> 75</v>
      </c>
      <c r="N561">
        <v>4</v>
      </c>
      <c r="O561" s="3">
        <f t="shared" si="43"/>
        <v>4</v>
      </c>
      <c r="Q561" t="str" cm="1">
        <f t="array" ref="Q561">_xlfn.IFS(ISBLANK(P561),"Not Specified",OR(P561="N",P561=FALSE,P561="no",P561=0),"no",TRUE,"yes")</f>
        <v>Not Specified</v>
      </c>
      <c r="R561" s="5">
        <v>0.7</v>
      </c>
      <c r="S561">
        <f t="shared" si="44"/>
        <v>70</v>
      </c>
    </row>
    <row r="562" spans="1:19">
      <c r="A562" t="s">
        <v>1209</v>
      </c>
      <c r="B562" t="s">
        <v>1210</v>
      </c>
      <c r="C562" t="s">
        <v>46</v>
      </c>
      <c r="D562" t="str" cm="1">
        <f t="array" ref="D562">_xlfn.IFS(OR(LOWER(C562)="f",LOWER(C562)="female"),"Female",TRUE,"Male")</f>
        <v>Female</v>
      </c>
      <c r="E562">
        <v>48</v>
      </c>
      <c r="F562">
        <f t="shared" si="40"/>
        <v>48</v>
      </c>
      <c r="G562" t="s">
        <v>146</v>
      </c>
      <c r="H562" t="s">
        <v>147</v>
      </c>
      <c r="I562" t="s">
        <v>37</v>
      </c>
      <c r="J562">
        <v>21</v>
      </c>
      <c r="K562">
        <f t="shared" si="41"/>
        <v>21</v>
      </c>
      <c r="L562">
        <v>30</v>
      </c>
      <c r="M562" t="str">
        <f t="shared" si="42"/>
        <v>30</v>
      </c>
      <c r="N562">
        <v>1.6</v>
      </c>
      <c r="O562" s="3">
        <f t="shared" si="43"/>
        <v>1.6</v>
      </c>
      <c r="P562" t="s">
        <v>81</v>
      </c>
      <c r="Q562" t="str" cm="1">
        <f t="array" ref="Q562">_xlfn.IFS(ISBLANK(P562),"Not Specified",OR(P562="N",P562=FALSE,P562="no",P562=0),"no",TRUE,"yes")</f>
        <v>yes</v>
      </c>
      <c r="R562" s="5">
        <v>0.67</v>
      </c>
      <c r="S562">
        <f t="shared" si="44"/>
        <v>67</v>
      </c>
    </row>
    <row r="563" spans="1:19">
      <c r="A563" t="s">
        <v>1211</v>
      </c>
      <c r="B563" t="s">
        <v>1212</v>
      </c>
      <c r="C563" t="s">
        <v>84</v>
      </c>
      <c r="D563" t="str" cm="1">
        <f t="array" ref="D563">_xlfn.IFS(OR(LOWER(C563)="f",LOWER(C563)="female"),"Female",TRUE,"Male")</f>
        <v>Female</v>
      </c>
      <c r="E563">
        <v>24</v>
      </c>
      <c r="F563">
        <f t="shared" si="40"/>
        <v>24</v>
      </c>
      <c r="G563" t="s">
        <v>142</v>
      </c>
      <c r="H563" t="s">
        <v>143</v>
      </c>
      <c r="I563" t="s">
        <v>85</v>
      </c>
      <c r="J563">
        <v>5</v>
      </c>
      <c r="K563">
        <f t="shared" si="41"/>
        <v>5</v>
      </c>
      <c r="L563">
        <v>40</v>
      </c>
      <c r="M563" t="str">
        <f t="shared" si="42"/>
        <v>40</v>
      </c>
      <c r="N563">
        <v>3</v>
      </c>
      <c r="O563" s="3">
        <f t="shared" si="43"/>
        <v>3</v>
      </c>
      <c r="P563" t="s">
        <v>166</v>
      </c>
      <c r="Q563" t="str" cm="1">
        <f t="array" ref="Q563">_xlfn.IFS(ISBLANK(P563),"Not Specified",OR(P563="N",P563=FALSE,P563="no",P563=0),"no",TRUE,"yes")</f>
        <v>no</v>
      </c>
      <c r="R563" s="5">
        <v>0.86</v>
      </c>
      <c r="S563">
        <f t="shared" si="44"/>
        <v>86</v>
      </c>
    </row>
    <row r="564" spans="1:19">
      <c r="A564" t="s">
        <v>1213</v>
      </c>
      <c r="B564" t="s">
        <v>1214</v>
      </c>
      <c r="C564" t="s">
        <v>27</v>
      </c>
      <c r="D564" t="str" cm="1">
        <f t="array" ref="D564">_xlfn.IFS(OR(LOWER(C564)="f",LOWER(C564)="female"),"Female",TRUE,"Male")</f>
        <v>Female</v>
      </c>
      <c r="E564">
        <v>33</v>
      </c>
      <c r="F564">
        <f t="shared" si="40"/>
        <v>33</v>
      </c>
      <c r="G564" t="s">
        <v>186</v>
      </c>
      <c r="H564" t="s">
        <v>79</v>
      </c>
      <c r="I564" t="s">
        <v>96</v>
      </c>
      <c r="J564">
        <v>11</v>
      </c>
      <c r="K564">
        <f t="shared" si="41"/>
        <v>11</v>
      </c>
      <c r="L564">
        <v>50</v>
      </c>
      <c r="M564" t="str">
        <f t="shared" si="42"/>
        <v>50</v>
      </c>
      <c r="N564">
        <v>5</v>
      </c>
      <c r="O564" s="3">
        <f t="shared" si="43"/>
        <v>5</v>
      </c>
      <c r="P564" t="s">
        <v>75</v>
      </c>
      <c r="Q564" t="str" cm="1">
        <f t="array" ref="Q564">_xlfn.IFS(ISBLANK(P564),"Not Specified",OR(P564="N",P564=FALSE,P564="no",P564=0),"no",TRUE,"yes")</f>
        <v>yes</v>
      </c>
      <c r="R564" s="5">
        <v>0.69</v>
      </c>
      <c r="S564">
        <f t="shared" si="44"/>
        <v>69</v>
      </c>
    </row>
    <row r="565" spans="1:19">
      <c r="A565" t="s">
        <v>1215</v>
      </c>
      <c r="B565" t="s">
        <v>1216</v>
      </c>
      <c r="C565" t="s">
        <v>27</v>
      </c>
      <c r="D565" t="str" cm="1">
        <f t="array" ref="D565">_xlfn.IFS(OR(LOWER(C565)="f",LOWER(C565)="female"),"Female",TRUE,"Male")</f>
        <v>Female</v>
      </c>
      <c r="E565">
        <v>20</v>
      </c>
      <c r="F565">
        <f t="shared" si="40"/>
        <v>20</v>
      </c>
      <c r="G565" t="s">
        <v>69</v>
      </c>
      <c r="H565" t="s">
        <v>70</v>
      </c>
      <c r="I565" t="s">
        <v>37</v>
      </c>
      <c r="J565">
        <v>0</v>
      </c>
      <c r="K565">
        <f t="shared" si="41"/>
        <v>0</v>
      </c>
      <c r="L565">
        <v>30</v>
      </c>
      <c r="M565" t="str">
        <f t="shared" si="42"/>
        <v>30</v>
      </c>
      <c r="N565">
        <v>4.8</v>
      </c>
      <c r="O565" s="3">
        <f t="shared" si="43"/>
        <v>4.8</v>
      </c>
      <c r="P565" t="s">
        <v>75</v>
      </c>
      <c r="Q565" t="str" cm="1">
        <f t="array" ref="Q565">_xlfn.IFS(ISBLANK(P565),"Not Specified",OR(P565="N",P565=FALSE,P565="no",P565=0),"no",TRUE,"yes")</f>
        <v>yes</v>
      </c>
      <c r="R565" s="5">
        <v>0.68</v>
      </c>
      <c r="S565">
        <f t="shared" si="44"/>
        <v>68</v>
      </c>
    </row>
    <row r="566" spans="1:19">
      <c r="A566" t="s">
        <v>1217</v>
      </c>
      <c r="B566" t="s">
        <v>1218</v>
      </c>
      <c r="C566" t="s">
        <v>68</v>
      </c>
      <c r="D566" t="str" cm="1">
        <f t="array" ref="D566">_xlfn.IFS(OR(LOWER(C566)="f",LOWER(C566)="female"),"Female",TRUE,"Male")</f>
        <v>Male</v>
      </c>
      <c r="E566">
        <v>59</v>
      </c>
      <c r="F566">
        <f t="shared" si="40"/>
        <v>59</v>
      </c>
      <c r="G566" t="s">
        <v>74</v>
      </c>
      <c r="H566" t="s">
        <v>29</v>
      </c>
      <c r="I566" t="s">
        <v>96</v>
      </c>
      <c r="J566">
        <v>15</v>
      </c>
      <c r="K566">
        <f t="shared" si="41"/>
        <v>15</v>
      </c>
      <c r="L566" t="s">
        <v>71</v>
      </c>
      <c r="M566" t="str">
        <f t="shared" si="42"/>
        <v>50</v>
      </c>
      <c r="O566" s="3" t="str">
        <f t="shared" si="43"/>
        <v>Not Specified</v>
      </c>
      <c r="P566" t="s">
        <v>166</v>
      </c>
      <c r="Q566" t="str" cm="1">
        <f t="array" ref="Q566">_xlfn.IFS(ISBLANK(P566),"Not Specified",OR(P566="N",P566=FALSE,P566="no",P566=0),"no",TRUE,"yes")</f>
        <v>no</v>
      </c>
      <c r="S566" t="str">
        <f t="shared" si="44"/>
        <v>Not Specified</v>
      </c>
    </row>
    <row r="567" spans="1:19">
      <c r="A567" t="s">
        <v>1219</v>
      </c>
      <c r="B567" t="s">
        <v>1220</v>
      </c>
      <c r="C567" t="s">
        <v>46</v>
      </c>
      <c r="D567" t="str" cm="1">
        <f t="array" ref="D567">_xlfn.IFS(OR(LOWER(C567)="f",LOWER(C567)="female"),"Female",TRUE,"Male")</f>
        <v>Female</v>
      </c>
      <c r="E567">
        <v>42</v>
      </c>
      <c r="F567">
        <f t="shared" si="40"/>
        <v>42</v>
      </c>
      <c r="G567" t="s">
        <v>182</v>
      </c>
      <c r="H567" t="s">
        <v>183</v>
      </c>
      <c r="I567" t="s">
        <v>96</v>
      </c>
      <c r="J567">
        <v>22</v>
      </c>
      <c r="K567">
        <f t="shared" si="41"/>
        <v>22</v>
      </c>
      <c r="M567" t="str">
        <f t="shared" si="42"/>
        <v>Not Specified</v>
      </c>
      <c r="N567">
        <v>2.9</v>
      </c>
      <c r="O567" s="3">
        <f t="shared" si="43"/>
        <v>2.9</v>
      </c>
      <c r="P567">
        <v>0</v>
      </c>
      <c r="Q567" t="str" cm="1">
        <f t="array" ref="Q567">_xlfn.IFS(ISBLANK(P567),"Not Specified",OR(P567="N",P567=FALSE,P567="no",P567=0),"no",TRUE,"yes")</f>
        <v>no</v>
      </c>
      <c r="R567" s="5">
        <v>0.61</v>
      </c>
      <c r="S567">
        <f t="shared" si="44"/>
        <v>61</v>
      </c>
    </row>
    <row r="568" spans="1:19">
      <c r="A568" t="s">
        <v>1221</v>
      </c>
      <c r="B568" t="s">
        <v>1222</v>
      </c>
      <c r="C568" t="s">
        <v>27</v>
      </c>
      <c r="D568" t="str" cm="1">
        <f t="array" ref="D568">_xlfn.IFS(OR(LOWER(C568)="f",LOWER(C568)="female"),"Female",TRUE,"Male")</f>
        <v>Female</v>
      </c>
      <c r="E568">
        <v>22</v>
      </c>
      <c r="F568">
        <f t="shared" si="40"/>
        <v>22</v>
      </c>
      <c r="G568" t="s">
        <v>69</v>
      </c>
      <c r="H568" t="s">
        <v>70</v>
      </c>
      <c r="I568" t="s">
        <v>80</v>
      </c>
      <c r="J568">
        <v>3</v>
      </c>
      <c r="K568">
        <f t="shared" si="41"/>
        <v>3</v>
      </c>
      <c r="M568" t="str">
        <f t="shared" si="42"/>
        <v>Not Specified</v>
      </c>
      <c r="N568">
        <v>3</v>
      </c>
      <c r="O568" s="3">
        <f t="shared" si="43"/>
        <v>3</v>
      </c>
      <c r="P568" t="b">
        <v>1</v>
      </c>
      <c r="Q568" t="str" cm="1">
        <f t="array" ref="Q568">_xlfn.IFS(ISBLANK(P568),"Not Specified",OR(P568="N",P568=FALSE,P568="no",P568=0),"no",TRUE,"yes")</f>
        <v>yes</v>
      </c>
      <c r="R568" s="5">
        <v>0.96</v>
      </c>
      <c r="S568">
        <f t="shared" si="44"/>
        <v>96</v>
      </c>
    </row>
    <row r="569" spans="1:19">
      <c r="A569" t="s">
        <v>1223</v>
      </c>
      <c r="B569" t="s">
        <v>1224</v>
      </c>
      <c r="C569" t="s">
        <v>99</v>
      </c>
      <c r="D569" t="str" cm="1">
        <f t="array" ref="D569">_xlfn.IFS(OR(LOWER(C569)="f",LOWER(C569)="female"),"Female",TRUE,"Male")</f>
        <v>Male</v>
      </c>
      <c r="E569">
        <v>41</v>
      </c>
      <c r="F569">
        <f t="shared" si="40"/>
        <v>41</v>
      </c>
      <c r="G569" t="s">
        <v>135</v>
      </c>
      <c r="H569" t="s">
        <v>29</v>
      </c>
      <c r="I569" t="s">
        <v>85</v>
      </c>
      <c r="J569">
        <v>11</v>
      </c>
      <c r="K569">
        <f t="shared" si="41"/>
        <v>11</v>
      </c>
      <c r="L569">
        <v>50</v>
      </c>
      <c r="M569" t="str">
        <f t="shared" si="42"/>
        <v>50</v>
      </c>
      <c r="N569">
        <v>3.5</v>
      </c>
      <c r="O569" s="3">
        <f t="shared" si="43"/>
        <v>3.5</v>
      </c>
      <c r="P569">
        <v>1</v>
      </c>
      <c r="Q569" t="str" cm="1">
        <f t="array" ref="Q569">_xlfn.IFS(ISBLANK(P569),"Not Specified",OR(P569="N",P569=FALSE,P569="no",P569=0),"no",TRUE,"yes")</f>
        <v>yes</v>
      </c>
      <c r="R569" s="5">
        <v>0.68</v>
      </c>
      <c r="S569">
        <f t="shared" si="44"/>
        <v>68</v>
      </c>
    </row>
    <row r="570" spans="1:19">
      <c r="A570" t="s">
        <v>1225</v>
      </c>
      <c r="B570" t="s">
        <v>1226</v>
      </c>
      <c r="C570" t="s">
        <v>84</v>
      </c>
      <c r="D570" t="str" cm="1">
        <f t="array" ref="D570">_xlfn.IFS(OR(LOWER(C570)="f",LOWER(C570)="female"),"Female",TRUE,"Male")</f>
        <v>Female</v>
      </c>
      <c r="E570">
        <v>25</v>
      </c>
      <c r="F570">
        <f t="shared" si="40"/>
        <v>25</v>
      </c>
      <c r="G570" t="s">
        <v>78</v>
      </c>
      <c r="H570" t="s">
        <v>79</v>
      </c>
      <c r="I570" t="s">
        <v>42</v>
      </c>
      <c r="J570">
        <v>5</v>
      </c>
      <c r="K570">
        <f t="shared" si="41"/>
        <v>5</v>
      </c>
      <c r="L570">
        <v>40</v>
      </c>
      <c r="M570" t="str">
        <f t="shared" si="42"/>
        <v>40</v>
      </c>
      <c r="O570" s="3" t="str">
        <f t="shared" si="43"/>
        <v>Not Specified</v>
      </c>
      <c r="P570" t="b">
        <v>1</v>
      </c>
      <c r="Q570" t="str" cm="1">
        <f t="array" ref="Q570">_xlfn.IFS(ISBLANK(P570),"Not Specified",OR(P570="N",P570=FALSE,P570="no",P570=0),"no",TRUE,"yes")</f>
        <v>yes</v>
      </c>
      <c r="R570" s="5">
        <v>0.75</v>
      </c>
      <c r="S570">
        <f t="shared" si="44"/>
        <v>75</v>
      </c>
    </row>
    <row r="571" spans="1:19">
      <c r="A571" t="s">
        <v>1227</v>
      </c>
      <c r="B571" t="s">
        <v>1228</v>
      </c>
      <c r="C571" t="s">
        <v>21</v>
      </c>
      <c r="D571" t="str" cm="1">
        <f t="array" ref="D571">_xlfn.IFS(OR(LOWER(C571)="f",LOWER(C571)="female"),"Female",TRUE,"Male")</f>
        <v>Female</v>
      </c>
      <c r="E571">
        <v>38</v>
      </c>
      <c r="F571">
        <f t="shared" si="40"/>
        <v>38</v>
      </c>
      <c r="G571" t="s">
        <v>135</v>
      </c>
      <c r="H571" t="s">
        <v>29</v>
      </c>
      <c r="I571" t="s">
        <v>80</v>
      </c>
      <c r="J571">
        <v>3</v>
      </c>
      <c r="K571">
        <f t="shared" si="41"/>
        <v>3</v>
      </c>
      <c r="L571">
        <v>40</v>
      </c>
      <c r="M571" t="str">
        <f t="shared" si="42"/>
        <v>40</v>
      </c>
      <c r="N571">
        <v>4.7</v>
      </c>
      <c r="O571" s="3">
        <f t="shared" si="43"/>
        <v>4.7</v>
      </c>
      <c r="P571">
        <v>0</v>
      </c>
      <c r="Q571" t="str" cm="1">
        <f t="array" ref="Q571">_xlfn.IFS(ISBLANK(P571),"Not Specified",OR(P571="N",P571=FALSE,P571="no",P571=0),"no",TRUE,"yes")</f>
        <v>no</v>
      </c>
      <c r="R571" s="5">
        <v>0.69</v>
      </c>
      <c r="S571">
        <f t="shared" si="44"/>
        <v>69</v>
      </c>
    </row>
    <row r="572" spans="1:19">
      <c r="A572" t="s">
        <v>1229</v>
      </c>
      <c r="B572" t="s">
        <v>1230</v>
      </c>
      <c r="C572" t="s">
        <v>46</v>
      </c>
      <c r="D572" t="str" cm="1">
        <f t="array" ref="D572">_xlfn.IFS(OR(LOWER(C572)="f",LOWER(C572)="female"),"Female",TRUE,"Male")</f>
        <v>Female</v>
      </c>
      <c r="E572">
        <v>43</v>
      </c>
      <c r="F572">
        <f t="shared" si="40"/>
        <v>43</v>
      </c>
      <c r="G572" t="s">
        <v>65</v>
      </c>
      <c r="H572" t="s">
        <v>29</v>
      </c>
      <c r="I572" t="s">
        <v>96</v>
      </c>
      <c r="J572">
        <v>1</v>
      </c>
      <c r="K572">
        <f t="shared" si="41"/>
        <v>1</v>
      </c>
      <c r="M572" t="str">
        <f t="shared" si="42"/>
        <v>Not Specified</v>
      </c>
      <c r="N572">
        <v>2.9</v>
      </c>
      <c r="O572" s="3">
        <f t="shared" si="43"/>
        <v>2.9</v>
      </c>
      <c r="P572" t="s">
        <v>166</v>
      </c>
      <c r="Q572" t="str" cm="1">
        <f t="array" ref="Q572">_xlfn.IFS(ISBLANK(P572),"Not Specified",OR(P572="N",P572=FALSE,P572="no",P572=0),"no",TRUE,"yes")</f>
        <v>no</v>
      </c>
      <c r="R572" s="5">
        <v>0.78</v>
      </c>
      <c r="S572">
        <f t="shared" si="44"/>
        <v>78</v>
      </c>
    </row>
    <row r="573" spans="1:19">
      <c r="A573" t="s">
        <v>1231</v>
      </c>
      <c r="B573" t="s">
        <v>1232</v>
      </c>
      <c r="C573" t="s">
        <v>41</v>
      </c>
      <c r="D573" t="str" cm="1">
        <f t="array" ref="D573">_xlfn.IFS(OR(LOWER(C573)="f",LOWER(C573)="female"),"Female",TRUE,"Male")</f>
        <v>Female</v>
      </c>
      <c r="E573">
        <v>54</v>
      </c>
      <c r="F573">
        <f t="shared" si="40"/>
        <v>54</v>
      </c>
      <c r="G573" t="s">
        <v>186</v>
      </c>
      <c r="H573" t="s">
        <v>79</v>
      </c>
      <c r="I573" t="s">
        <v>51</v>
      </c>
      <c r="J573">
        <v>1</v>
      </c>
      <c r="K573">
        <f t="shared" si="41"/>
        <v>1</v>
      </c>
      <c r="L573">
        <v>75</v>
      </c>
      <c r="M573" t="str">
        <f t="shared" si="42"/>
        <v>75</v>
      </c>
      <c r="N573">
        <v>4.4</v>
      </c>
      <c r="O573" s="3">
        <f t="shared" si="43"/>
        <v>4.4</v>
      </c>
      <c r="P573" t="s">
        <v>81</v>
      </c>
      <c r="Q573" t="str" cm="1">
        <f t="array" ref="Q573">_xlfn.IFS(ISBLANK(P573),"Not Specified",OR(P573="N",P573=FALSE,P573="no",P573=0),"no",TRUE,"yes")</f>
        <v>yes</v>
      </c>
      <c r="S573" t="str">
        <f t="shared" si="44"/>
        <v>Not Specified</v>
      </c>
    </row>
    <row r="574" spans="1:19">
      <c r="A574" t="s">
        <v>1233</v>
      </c>
      <c r="B574" t="s">
        <v>1234</v>
      </c>
      <c r="C574" t="s">
        <v>41</v>
      </c>
      <c r="D574" t="str" cm="1">
        <f t="array" ref="D574">_xlfn.IFS(OR(LOWER(C574)="f",LOWER(C574)="female"),"Female",TRUE,"Male")</f>
        <v>Female</v>
      </c>
      <c r="E574">
        <v>31</v>
      </c>
      <c r="F574">
        <f t="shared" si="40"/>
        <v>31</v>
      </c>
      <c r="G574" t="s">
        <v>56</v>
      </c>
      <c r="H574" t="s">
        <v>57</v>
      </c>
      <c r="I574" t="s">
        <v>30</v>
      </c>
      <c r="J574">
        <v>2</v>
      </c>
      <c r="K574">
        <f t="shared" si="41"/>
        <v>2</v>
      </c>
      <c r="L574">
        <v>40</v>
      </c>
      <c r="M574" t="str">
        <f t="shared" si="42"/>
        <v>40</v>
      </c>
      <c r="N574">
        <v>2.3</v>
      </c>
      <c r="O574" s="3">
        <f t="shared" si="43"/>
        <v>2.3</v>
      </c>
      <c r="P574" t="s">
        <v>38</v>
      </c>
      <c r="Q574" t="str" cm="1">
        <f t="array" ref="Q574">_xlfn.IFS(ISBLANK(P574),"Not Specified",OR(P574="N",P574=FALSE,P574="no",P574=0),"no",TRUE,"yes")</f>
        <v>no</v>
      </c>
      <c r="R574" s="5">
        <v>0.98</v>
      </c>
      <c r="S574">
        <f t="shared" si="44"/>
        <v>98</v>
      </c>
    </row>
    <row r="575" spans="1:19">
      <c r="A575" t="s">
        <v>1235</v>
      </c>
      <c r="B575" t="s">
        <v>1236</v>
      </c>
      <c r="C575" t="s">
        <v>21</v>
      </c>
      <c r="D575" t="str" cm="1">
        <f t="array" ref="D575">_xlfn.IFS(OR(LOWER(C575)="f",LOWER(C575)="female"),"Female",TRUE,"Male")</f>
        <v>Female</v>
      </c>
      <c r="E575">
        <v>56</v>
      </c>
      <c r="F575">
        <f t="shared" si="40"/>
        <v>56</v>
      </c>
      <c r="G575" t="s">
        <v>186</v>
      </c>
      <c r="H575" t="s">
        <v>79</v>
      </c>
      <c r="I575" t="s">
        <v>51</v>
      </c>
      <c r="J575">
        <v>3</v>
      </c>
      <c r="K575">
        <f t="shared" si="41"/>
        <v>3</v>
      </c>
      <c r="L575" t="s">
        <v>52</v>
      </c>
      <c r="M575" t="str">
        <f t="shared" si="42"/>
        <v>30</v>
      </c>
      <c r="N575">
        <v>3.7</v>
      </c>
      <c r="O575" s="3">
        <f t="shared" si="43"/>
        <v>3.7</v>
      </c>
      <c r="Q575" t="str" cm="1">
        <f t="array" ref="Q575">_xlfn.IFS(ISBLANK(P575),"Not Specified",OR(P575="N",P575=FALSE,P575="no",P575=0),"no",TRUE,"yes")</f>
        <v>Not Specified</v>
      </c>
      <c r="R575" s="5">
        <v>0.83</v>
      </c>
      <c r="S575">
        <f t="shared" si="44"/>
        <v>83</v>
      </c>
    </row>
    <row r="576" spans="1:19">
      <c r="A576" t="s">
        <v>1237</v>
      </c>
      <c r="B576" t="s">
        <v>1238</v>
      </c>
      <c r="C576" t="s">
        <v>68</v>
      </c>
      <c r="D576" t="str" cm="1">
        <f t="array" ref="D576">_xlfn.IFS(OR(LOWER(C576)="f",LOWER(C576)="female"),"Female",TRUE,"Male")</f>
        <v>Male</v>
      </c>
      <c r="E576">
        <v>46</v>
      </c>
      <c r="F576">
        <f t="shared" si="40"/>
        <v>46</v>
      </c>
      <c r="G576" t="s">
        <v>186</v>
      </c>
      <c r="H576" t="s">
        <v>79</v>
      </c>
      <c r="I576" t="s">
        <v>37</v>
      </c>
      <c r="J576">
        <v>11</v>
      </c>
      <c r="K576">
        <f t="shared" si="41"/>
        <v>11</v>
      </c>
      <c r="M576" t="str">
        <f t="shared" si="42"/>
        <v>Not Specified</v>
      </c>
      <c r="N576">
        <v>1.8</v>
      </c>
      <c r="O576" s="3">
        <f t="shared" si="43"/>
        <v>1.8</v>
      </c>
      <c r="P576">
        <v>1</v>
      </c>
      <c r="Q576" t="str" cm="1">
        <f t="array" ref="Q576">_xlfn.IFS(ISBLANK(P576),"Not Specified",OR(P576="N",P576=FALSE,P576="no",P576=0),"no",TRUE,"yes")</f>
        <v>yes</v>
      </c>
      <c r="R576" s="5">
        <v>0.91</v>
      </c>
      <c r="S576">
        <f t="shared" si="44"/>
        <v>91</v>
      </c>
    </row>
    <row r="577" spans="1:19">
      <c r="A577" t="s">
        <v>1239</v>
      </c>
      <c r="B577" t="s">
        <v>1240</v>
      </c>
      <c r="C577" t="s">
        <v>104</v>
      </c>
      <c r="D577" t="str" cm="1">
        <f t="array" ref="D577">_xlfn.IFS(OR(LOWER(C577)="f",LOWER(C577)="female"),"Female",TRUE,"Male")</f>
        <v>Male</v>
      </c>
      <c r="E577">
        <v>60</v>
      </c>
      <c r="F577">
        <f t="shared" si="40"/>
        <v>60</v>
      </c>
      <c r="G577" t="s">
        <v>146</v>
      </c>
      <c r="H577" t="s">
        <v>147</v>
      </c>
      <c r="I577" t="s">
        <v>51</v>
      </c>
      <c r="K577" t="str">
        <f t="shared" si="41"/>
        <v>Not Specified</v>
      </c>
      <c r="L577">
        <v>100</v>
      </c>
      <c r="M577" t="str">
        <f t="shared" si="42"/>
        <v>100</v>
      </c>
      <c r="N577">
        <v>0</v>
      </c>
      <c r="O577" s="3" t="str">
        <f t="shared" si="43"/>
        <v>Not Specified</v>
      </c>
      <c r="P577">
        <v>1</v>
      </c>
      <c r="Q577" t="str" cm="1">
        <f t="array" ref="Q577">_xlfn.IFS(ISBLANK(P577),"Not Specified",OR(P577="N",P577=FALSE,P577="no",P577=0),"no",TRUE,"yes")</f>
        <v>yes</v>
      </c>
      <c r="R577" s="5">
        <v>0.96</v>
      </c>
      <c r="S577">
        <f t="shared" si="44"/>
        <v>96</v>
      </c>
    </row>
    <row r="578" spans="1:19">
      <c r="A578" t="s">
        <v>1241</v>
      </c>
      <c r="B578" t="s">
        <v>1242</v>
      </c>
      <c r="C578" t="s">
        <v>41</v>
      </c>
      <c r="D578" t="str" cm="1">
        <f t="array" ref="D578">_xlfn.IFS(OR(LOWER(C578)="f",LOWER(C578)="female"),"Female",TRUE,"Male")</f>
        <v>Female</v>
      </c>
      <c r="E578">
        <v>28</v>
      </c>
      <c r="F578">
        <f t="shared" si="40"/>
        <v>28</v>
      </c>
      <c r="G578" t="s">
        <v>119</v>
      </c>
      <c r="H578" t="s">
        <v>120</v>
      </c>
      <c r="I578" t="s">
        <v>37</v>
      </c>
      <c r="J578">
        <v>2</v>
      </c>
      <c r="K578">
        <f t="shared" si="41"/>
        <v>2</v>
      </c>
      <c r="L578" t="s">
        <v>105</v>
      </c>
      <c r="M578" t="str">
        <f t="shared" si="42"/>
        <v> 50</v>
      </c>
      <c r="O578" s="3" t="str">
        <f t="shared" si="43"/>
        <v>Not Specified</v>
      </c>
      <c r="P578">
        <v>1</v>
      </c>
      <c r="Q578" t="str" cm="1">
        <f t="array" ref="Q578">_xlfn.IFS(ISBLANK(P578),"Not Specified",OR(P578="N",P578=FALSE,P578="no",P578=0),"no",TRUE,"yes")</f>
        <v>yes</v>
      </c>
      <c r="R578" s="5">
        <v>0.85</v>
      </c>
      <c r="S578">
        <f t="shared" si="44"/>
        <v>85</v>
      </c>
    </row>
    <row r="579" spans="1:19">
      <c r="A579" t="s">
        <v>1243</v>
      </c>
      <c r="B579" t="s">
        <v>1244</v>
      </c>
      <c r="C579" t="s">
        <v>41</v>
      </c>
      <c r="D579" t="str" cm="1">
        <f t="array" ref="D579">_xlfn.IFS(OR(LOWER(C579)="f",LOWER(C579)="female"),"Female",TRUE,"Male")</f>
        <v>Female</v>
      </c>
      <c r="E579">
        <v>43</v>
      </c>
      <c r="F579">
        <f t="shared" ref="F579:F642" si="45">IF(ISNUMBER(E579),E579,"Not Specified")</f>
        <v>43</v>
      </c>
      <c r="G579" t="s">
        <v>56</v>
      </c>
      <c r="H579" t="s">
        <v>57</v>
      </c>
      <c r="I579" t="s">
        <v>42</v>
      </c>
      <c r="J579">
        <v>20</v>
      </c>
      <c r="K579">
        <f t="shared" ref="K579:K642" si="46">IF(ISNUMBER(J579),J579,"Not Specified")</f>
        <v>20</v>
      </c>
      <c r="L579" t="s">
        <v>116</v>
      </c>
      <c r="M579" t="str">
        <f t="shared" ref="M579:M642" si="47">IF(SUBSTITUTE(SUBSTITUTE(L579,"USD",""),"$","")="","Not Specified",SUBSTITUTE(SUBSTITUTE(L579,"USD",""),"$",""))</f>
        <v> 30</v>
      </c>
      <c r="N579">
        <v>2.7</v>
      </c>
      <c r="O579" s="3">
        <f t="shared" ref="O579:O642" si="48">IF(OR(N579="",N579=0),"Not Specified",N579)</f>
        <v>2.7</v>
      </c>
      <c r="P579" t="b">
        <v>0</v>
      </c>
      <c r="Q579" t="str" cm="1">
        <f t="array" ref="Q579">_xlfn.IFS(ISBLANK(P579),"Not Specified",OR(P579="N",P579=FALSE,P579="no",P579=0),"no",TRUE,"yes")</f>
        <v>no</v>
      </c>
      <c r="R579" s="5">
        <v>0.72</v>
      </c>
      <c r="S579">
        <f t="shared" ref="S579:S642" si="49">IF(ISBLANK(R579),"Not Specified",IF(R579&lt;=1,R579*100,R579))</f>
        <v>72</v>
      </c>
    </row>
    <row r="580" spans="1:19">
      <c r="A580" t="s">
        <v>1245</v>
      </c>
      <c r="B580" t="s">
        <v>1246</v>
      </c>
      <c r="C580" t="s">
        <v>68</v>
      </c>
      <c r="D580" t="str" cm="1">
        <f t="array" ref="D580">_xlfn.IFS(OR(LOWER(C580)="f",LOWER(C580)="female"),"Female",TRUE,"Male")</f>
        <v>Male</v>
      </c>
      <c r="E580">
        <v>41</v>
      </c>
      <c r="F580">
        <f t="shared" si="45"/>
        <v>41</v>
      </c>
      <c r="G580" t="s">
        <v>142</v>
      </c>
      <c r="H580" t="s">
        <v>143</v>
      </c>
      <c r="I580" t="s">
        <v>42</v>
      </c>
      <c r="J580">
        <v>11</v>
      </c>
      <c r="K580">
        <f t="shared" si="46"/>
        <v>11</v>
      </c>
      <c r="L580" t="s">
        <v>128</v>
      </c>
      <c r="M580" t="str">
        <f t="shared" si="47"/>
        <v>20</v>
      </c>
      <c r="N580">
        <v>4.7</v>
      </c>
      <c r="O580" s="3">
        <f t="shared" si="48"/>
        <v>4.7</v>
      </c>
      <c r="Q580" t="str" cm="1">
        <f t="array" ref="Q580">_xlfn.IFS(ISBLANK(P580),"Not Specified",OR(P580="N",P580=FALSE,P580="no",P580=0),"no",TRUE,"yes")</f>
        <v>Not Specified</v>
      </c>
      <c r="R580" s="5">
        <v>0.69</v>
      </c>
      <c r="S580">
        <f t="shared" si="49"/>
        <v>69</v>
      </c>
    </row>
    <row r="581" spans="1:19">
      <c r="A581" t="s">
        <v>1247</v>
      </c>
      <c r="B581" t="s">
        <v>1248</v>
      </c>
      <c r="C581" t="s">
        <v>34</v>
      </c>
      <c r="D581" t="str" cm="1">
        <f t="array" ref="D581">_xlfn.IFS(OR(LOWER(C581)="f",LOWER(C581)="female"),"Female",TRUE,"Male")</f>
        <v>Male</v>
      </c>
      <c r="E581">
        <v>41</v>
      </c>
      <c r="F581">
        <f t="shared" si="45"/>
        <v>41</v>
      </c>
      <c r="G581" t="s">
        <v>74</v>
      </c>
      <c r="H581" t="s">
        <v>29</v>
      </c>
      <c r="I581" t="s">
        <v>96</v>
      </c>
      <c r="J581">
        <v>0</v>
      </c>
      <c r="K581">
        <f t="shared" si="46"/>
        <v>0</v>
      </c>
      <c r="L581" t="s">
        <v>128</v>
      </c>
      <c r="M581" t="str">
        <f t="shared" si="47"/>
        <v>20</v>
      </c>
      <c r="N581">
        <v>3.1</v>
      </c>
      <c r="O581" s="3">
        <f t="shared" si="48"/>
        <v>3.1</v>
      </c>
      <c r="P581">
        <v>0</v>
      </c>
      <c r="Q581" t="str" cm="1">
        <f t="array" ref="Q581">_xlfn.IFS(ISBLANK(P581),"Not Specified",OR(P581="N",P581=FALSE,P581="no",P581=0),"no",TRUE,"yes")</f>
        <v>no</v>
      </c>
      <c r="R581">
        <v>90</v>
      </c>
      <c r="S581">
        <f t="shared" si="49"/>
        <v>90</v>
      </c>
    </row>
    <row r="582" spans="1:19">
      <c r="A582" t="s">
        <v>1249</v>
      </c>
      <c r="B582" t="s">
        <v>1250</v>
      </c>
      <c r="C582" t="s">
        <v>41</v>
      </c>
      <c r="D582" t="str" cm="1">
        <f t="array" ref="D582">_xlfn.IFS(OR(LOWER(C582)="f",LOWER(C582)="female"),"Female",TRUE,"Male")</f>
        <v>Female</v>
      </c>
      <c r="E582">
        <v>40</v>
      </c>
      <c r="F582">
        <f t="shared" si="45"/>
        <v>40</v>
      </c>
      <c r="G582" t="s">
        <v>74</v>
      </c>
      <c r="H582" t="s">
        <v>29</v>
      </c>
      <c r="I582" t="s">
        <v>30</v>
      </c>
      <c r="J582">
        <v>20</v>
      </c>
      <c r="K582">
        <f t="shared" si="46"/>
        <v>20</v>
      </c>
      <c r="L582">
        <v>20</v>
      </c>
      <c r="M582" t="str">
        <f t="shared" si="47"/>
        <v>20</v>
      </c>
      <c r="N582">
        <v>2.3</v>
      </c>
      <c r="O582" s="3">
        <f t="shared" si="48"/>
        <v>2.3</v>
      </c>
      <c r="P582">
        <v>0</v>
      </c>
      <c r="Q582" t="str" cm="1">
        <f t="array" ref="Q582">_xlfn.IFS(ISBLANK(P582),"Not Specified",OR(P582="N",P582=FALSE,P582="no",P582=0),"no",TRUE,"yes")</f>
        <v>no</v>
      </c>
      <c r="R582" s="5">
        <v>0.92</v>
      </c>
      <c r="S582">
        <f t="shared" si="49"/>
        <v>92</v>
      </c>
    </row>
    <row r="583" spans="1:19">
      <c r="A583" t="s">
        <v>1251</v>
      </c>
      <c r="B583" t="s">
        <v>1252</v>
      </c>
      <c r="C583" t="s">
        <v>104</v>
      </c>
      <c r="D583" t="str" cm="1">
        <f t="array" ref="D583">_xlfn.IFS(OR(LOWER(C583)="f",LOWER(C583)="female"),"Female",TRUE,"Male")</f>
        <v>Male</v>
      </c>
      <c r="E583">
        <v>45</v>
      </c>
      <c r="F583">
        <f t="shared" si="45"/>
        <v>45</v>
      </c>
      <c r="G583" t="s">
        <v>35</v>
      </c>
      <c r="H583" t="s">
        <v>36</v>
      </c>
      <c r="I583" t="s">
        <v>96</v>
      </c>
      <c r="J583">
        <v>3</v>
      </c>
      <c r="K583">
        <f t="shared" si="46"/>
        <v>3</v>
      </c>
      <c r="L583" t="s">
        <v>321</v>
      </c>
      <c r="M583" t="str">
        <f t="shared" si="47"/>
        <v> 20</v>
      </c>
      <c r="N583">
        <v>1.3</v>
      </c>
      <c r="O583" s="3">
        <f t="shared" si="48"/>
        <v>1.3</v>
      </c>
      <c r="P583" t="s">
        <v>81</v>
      </c>
      <c r="Q583" t="str" cm="1">
        <f t="array" ref="Q583">_xlfn.IFS(ISBLANK(P583),"Not Specified",OR(P583="N",P583=FALSE,P583="no",P583=0),"no",TRUE,"yes")</f>
        <v>yes</v>
      </c>
      <c r="R583" s="5">
        <v>0.91</v>
      </c>
      <c r="S583">
        <f t="shared" si="49"/>
        <v>91</v>
      </c>
    </row>
    <row r="584" spans="1:19">
      <c r="A584" t="s">
        <v>1253</v>
      </c>
      <c r="B584" t="s">
        <v>1254</v>
      </c>
      <c r="C584" t="s">
        <v>68</v>
      </c>
      <c r="D584" t="str" cm="1">
        <f t="array" ref="D584">_xlfn.IFS(OR(LOWER(C584)="f",LOWER(C584)="female"),"Female",TRUE,"Male")</f>
        <v>Male</v>
      </c>
      <c r="E584">
        <v>47</v>
      </c>
      <c r="F584">
        <f t="shared" si="45"/>
        <v>47</v>
      </c>
      <c r="G584" t="s">
        <v>146</v>
      </c>
      <c r="H584" t="s">
        <v>147</v>
      </c>
      <c r="I584" t="s">
        <v>96</v>
      </c>
      <c r="J584">
        <v>28</v>
      </c>
      <c r="K584">
        <f t="shared" si="46"/>
        <v>28</v>
      </c>
      <c r="L584" t="s">
        <v>105</v>
      </c>
      <c r="M584" t="str">
        <f t="shared" si="47"/>
        <v> 50</v>
      </c>
      <c r="N584">
        <v>2.9</v>
      </c>
      <c r="O584" s="3">
        <f t="shared" si="48"/>
        <v>2.9</v>
      </c>
      <c r="P584" t="b">
        <v>1</v>
      </c>
      <c r="Q584" t="str" cm="1">
        <f t="array" ref="Q584">_xlfn.IFS(ISBLANK(P584),"Not Specified",OR(P584="N",P584=FALSE,P584="no",P584=0),"no",TRUE,"yes")</f>
        <v>yes</v>
      </c>
      <c r="S584" t="str">
        <f t="shared" si="49"/>
        <v>Not Specified</v>
      </c>
    </row>
    <row r="585" spans="1:19">
      <c r="A585" t="s">
        <v>1255</v>
      </c>
      <c r="B585" t="s">
        <v>1256</v>
      </c>
      <c r="C585" t="s">
        <v>55</v>
      </c>
      <c r="D585" t="str" cm="1">
        <f t="array" ref="D585">_xlfn.IFS(OR(LOWER(C585)="f",LOWER(C585)="female"),"Female",TRUE,"Male")</f>
        <v>Male</v>
      </c>
      <c r="E585">
        <v>34</v>
      </c>
      <c r="F585">
        <f t="shared" si="45"/>
        <v>34</v>
      </c>
      <c r="G585" t="s">
        <v>100</v>
      </c>
      <c r="H585" t="s">
        <v>101</v>
      </c>
      <c r="I585" t="s">
        <v>58</v>
      </c>
      <c r="J585">
        <v>0</v>
      </c>
      <c r="K585">
        <f t="shared" si="46"/>
        <v>0</v>
      </c>
      <c r="L585">
        <v>40</v>
      </c>
      <c r="M585" t="str">
        <f t="shared" si="47"/>
        <v>40</v>
      </c>
      <c r="N585">
        <v>3.3</v>
      </c>
      <c r="O585" s="3">
        <f t="shared" si="48"/>
        <v>3.3</v>
      </c>
      <c r="P585">
        <v>0</v>
      </c>
      <c r="Q585" t="str" cm="1">
        <f t="array" ref="Q585">_xlfn.IFS(ISBLANK(P585),"Not Specified",OR(P585="N",P585=FALSE,P585="no",P585=0),"no",TRUE,"yes")</f>
        <v>no</v>
      </c>
      <c r="R585" s="5">
        <v>0.98</v>
      </c>
      <c r="S585">
        <f t="shared" si="49"/>
        <v>98</v>
      </c>
    </row>
    <row r="586" spans="1:19">
      <c r="A586" t="s">
        <v>1257</v>
      </c>
      <c r="B586" t="s">
        <v>1258</v>
      </c>
      <c r="C586" t="s">
        <v>99</v>
      </c>
      <c r="D586" t="str" cm="1">
        <f t="array" ref="D586">_xlfn.IFS(OR(LOWER(C586)="f",LOWER(C586)="female"),"Female",TRUE,"Male")</f>
        <v>Male</v>
      </c>
      <c r="E586">
        <v>47</v>
      </c>
      <c r="F586">
        <f t="shared" si="45"/>
        <v>47</v>
      </c>
      <c r="G586" t="s">
        <v>65</v>
      </c>
      <c r="H586" t="s">
        <v>29</v>
      </c>
      <c r="I586" t="s">
        <v>80</v>
      </c>
      <c r="J586">
        <v>4</v>
      </c>
      <c r="K586">
        <f t="shared" si="46"/>
        <v>4</v>
      </c>
      <c r="L586" t="s">
        <v>321</v>
      </c>
      <c r="M586" t="str">
        <f t="shared" si="47"/>
        <v> 20</v>
      </c>
      <c r="N586">
        <v>4.2</v>
      </c>
      <c r="O586" s="3">
        <f t="shared" si="48"/>
        <v>4.2</v>
      </c>
      <c r="Q586" t="str" cm="1">
        <f t="array" ref="Q586">_xlfn.IFS(ISBLANK(P586),"Not Specified",OR(P586="N",P586=FALSE,P586="no",P586=0),"no",TRUE,"yes")</f>
        <v>Not Specified</v>
      </c>
      <c r="R586" s="5">
        <v>0.82</v>
      </c>
      <c r="S586">
        <f t="shared" si="49"/>
        <v>82</v>
      </c>
    </row>
    <row r="587" spans="1:19">
      <c r="A587" t="s">
        <v>1259</v>
      </c>
      <c r="B587" t="s">
        <v>1260</v>
      </c>
      <c r="C587" t="s">
        <v>99</v>
      </c>
      <c r="D587" t="str" cm="1">
        <f t="array" ref="D587">_xlfn.IFS(OR(LOWER(C587)="f",LOWER(C587)="female"),"Female",TRUE,"Male")</f>
        <v>Male</v>
      </c>
      <c r="E587">
        <v>32</v>
      </c>
      <c r="F587">
        <f t="shared" si="45"/>
        <v>32</v>
      </c>
      <c r="G587" t="s">
        <v>186</v>
      </c>
      <c r="H587" t="s">
        <v>79</v>
      </c>
      <c r="I587" t="s">
        <v>80</v>
      </c>
      <c r="J587">
        <v>9</v>
      </c>
      <c r="K587">
        <f t="shared" si="46"/>
        <v>9</v>
      </c>
      <c r="L587" t="s">
        <v>62</v>
      </c>
      <c r="M587" t="str">
        <f t="shared" si="47"/>
        <v> 40</v>
      </c>
      <c r="N587">
        <v>1.3</v>
      </c>
      <c r="O587" s="3">
        <f t="shared" si="48"/>
        <v>1.3</v>
      </c>
      <c r="P587" t="b">
        <v>1</v>
      </c>
      <c r="Q587" t="str" cm="1">
        <f t="array" ref="Q587">_xlfn.IFS(ISBLANK(P587),"Not Specified",OR(P587="N",P587=FALSE,P587="no",P587=0),"no",TRUE,"yes")</f>
        <v>yes</v>
      </c>
      <c r="R587" s="5">
        <v>0.83</v>
      </c>
      <c r="S587">
        <f t="shared" si="49"/>
        <v>83</v>
      </c>
    </row>
    <row r="588" spans="1:19">
      <c r="A588" t="s">
        <v>1261</v>
      </c>
      <c r="B588" t="s">
        <v>1262</v>
      </c>
      <c r="C588" t="s">
        <v>99</v>
      </c>
      <c r="D588" t="str" cm="1">
        <f t="array" ref="D588">_xlfn.IFS(OR(LOWER(C588)="f",LOWER(C588)="female"),"Female",TRUE,"Male")</f>
        <v>Male</v>
      </c>
      <c r="E588">
        <v>28</v>
      </c>
      <c r="F588">
        <f t="shared" si="45"/>
        <v>28</v>
      </c>
      <c r="G588" t="s">
        <v>74</v>
      </c>
      <c r="H588" t="s">
        <v>29</v>
      </c>
      <c r="I588" t="s">
        <v>30</v>
      </c>
      <c r="J588">
        <v>2</v>
      </c>
      <c r="K588">
        <f t="shared" si="46"/>
        <v>2</v>
      </c>
      <c r="L588" t="s">
        <v>236</v>
      </c>
      <c r="M588" t="str">
        <f t="shared" si="47"/>
        <v>100</v>
      </c>
      <c r="N588">
        <v>4.4</v>
      </c>
      <c r="O588" s="3">
        <f t="shared" si="48"/>
        <v>4.4</v>
      </c>
      <c r="P588" t="b">
        <v>1</v>
      </c>
      <c r="Q588" t="str" cm="1">
        <f t="array" ref="Q588">_xlfn.IFS(ISBLANK(P588),"Not Specified",OR(P588="N",P588=FALSE,P588="no",P588=0),"no",TRUE,"yes")</f>
        <v>yes</v>
      </c>
      <c r="S588" t="str">
        <f t="shared" si="49"/>
        <v>Not Specified</v>
      </c>
    </row>
    <row r="589" spans="1:19">
      <c r="A589" t="s">
        <v>1263</v>
      </c>
      <c r="B589" t="s">
        <v>1264</v>
      </c>
      <c r="C589" t="s">
        <v>55</v>
      </c>
      <c r="D589" t="str" cm="1">
        <f t="array" ref="D589">_xlfn.IFS(OR(LOWER(C589)="f",LOWER(C589)="female"),"Female",TRUE,"Male")</f>
        <v>Male</v>
      </c>
      <c r="E589">
        <v>32</v>
      </c>
      <c r="F589">
        <f t="shared" si="45"/>
        <v>32</v>
      </c>
      <c r="G589" t="s">
        <v>28</v>
      </c>
      <c r="H589" t="s">
        <v>29</v>
      </c>
      <c r="I589" t="s">
        <v>96</v>
      </c>
      <c r="J589">
        <v>1</v>
      </c>
      <c r="K589">
        <f t="shared" si="46"/>
        <v>1</v>
      </c>
      <c r="L589">
        <v>100</v>
      </c>
      <c r="M589" t="str">
        <f t="shared" si="47"/>
        <v>100</v>
      </c>
      <c r="N589">
        <v>3.4</v>
      </c>
      <c r="O589" s="3">
        <f t="shared" si="48"/>
        <v>3.4</v>
      </c>
      <c r="P589" t="b">
        <v>1</v>
      </c>
      <c r="Q589" t="str" cm="1">
        <f t="array" ref="Q589">_xlfn.IFS(ISBLANK(P589),"Not Specified",OR(P589="N",P589=FALSE,P589="no",P589=0),"no",TRUE,"yes")</f>
        <v>yes</v>
      </c>
      <c r="S589" t="str">
        <f t="shared" si="49"/>
        <v>Not Specified</v>
      </c>
    </row>
    <row r="590" spans="1:19">
      <c r="A590" t="s">
        <v>1265</v>
      </c>
      <c r="B590" t="s">
        <v>1266</v>
      </c>
      <c r="C590" t="s">
        <v>41</v>
      </c>
      <c r="D590" t="str" cm="1">
        <f t="array" ref="D590">_xlfn.IFS(OR(LOWER(C590)="f",LOWER(C590)="female"),"Female",TRUE,"Male")</f>
        <v>Female</v>
      </c>
      <c r="E590">
        <v>49</v>
      </c>
      <c r="F590">
        <f t="shared" si="45"/>
        <v>49</v>
      </c>
      <c r="G590" t="s">
        <v>49</v>
      </c>
      <c r="H590" t="s">
        <v>50</v>
      </c>
      <c r="I590" t="s">
        <v>51</v>
      </c>
      <c r="J590">
        <v>2</v>
      </c>
      <c r="K590">
        <f t="shared" si="46"/>
        <v>2</v>
      </c>
      <c r="L590" t="s">
        <v>236</v>
      </c>
      <c r="M590" t="str">
        <f t="shared" si="47"/>
        <v>100</v>
      </c>
      <c r="N590">
        <v>3.4</v>
      </c>
      <c r="O590" s="3">
        <f t="shared" si="48"/>
        <v>3.4</v>
      </c>
      <c r="P590">
        <v>1</v>
      </c>
      <c r="Q590" t="str" cm="1">
        <f t="array" ref="Q590">_xlfn.IFS(ISBLANK(P590),"Not Specified",OR(P590="N",P590=FALSE,P590="no",P590=0),"no",TRUE,"yes")</f>
        <v>yes</v>
      </c>
      <c r="R590" s="5">
        <v>0.85</v>
      </c>
      <c r="S590">
        <f t="shared" si="49"/>
        <v>85</v>
      </c>
    </row>
    <row r="591" spans="1:19">
      <c r="A591" t="s">
        <v>1267</v>
      </c>
      <c r="B591" t="s">
        <v>1268</v>
      </c>
      <c r="C591" t="s">
        <v>21</v>
      </c>
      <c r="D591" t="str" cm="1">
        <f t="array" ref="D591">_xlfn.IFS(OR(LOWER(C591)="f",LOWER(C591)="female"),"Female",TRUE,"Male")</f>
        <v>Female</v>
      </c>
      <c r="E591">
        <v>36</v>
      </c>
      <c r="F591">
        <f t="shared" si="45"/>
        <v>36</v>
      </c>
      <c r="G591" t="s">
        <v>78</v>
      </c>
      <c r="H591" t="s">
        <v>79</v>
      </c>
      <c r="I591" t="s">
        <v>30</v>
      </c>
      <c r="J591">
        <v>16</v>
      </c>
      <c r="K591">
        <f t="shared" si="46"/>
        <v>16</v>
      </c>
      <c r="L591" t="s">
        <v>321</v>
      </c>
      <c r="M591" t="str">
        <f t="shared" si="47"/>
        <v> 20</v>
      </c>
      <c r="N591">
        <v>3.2</v>
      </c>
      <c r="O591" s="3">
        <f t="shared" si="48"/>
        <v>3.2</v>
      </c>
      <c r="Q591" t="str" cm="1">
        <f t="array" ref="Q591">_xlfn.IFS(ISBLANK(P591),"Not Specified",OR(P591="N",P591=FALSE,P591="no",P591=0),"no",TRUE,"yes")</f>
        <v>Not Specified</v>
      </c>
      <c r="S591" t="str">
        <f t="shared" si="49"/>
        <v>Not Specified</v>
      </c>
    </row>
    <row r="592" spans="1:19">
      <c r="A592" t="s">
        <v>1269</v>
      </c>
      <c r="B592" t="s">
        <v>1270</v>
      </c>
      <c r="C592" t="s">
        <v>99</v>
      </c>
      <c r="D592" t="str" cm="1">
        <f t="array" ref="D592">_xlfn.IFS(OR(LOWER(C592)="f",LOWER(C592)="female"),"Female",TRUE,"Male")</f>
        <v>Male</v>
      </c>
      <c r="E592">
        <v>59</v>
      </c>
      <c r="F592">
        <f t="shared" si="45"/>
        <v>59</v>
      </c>
      <c r="G592" t="s">
        <v>186</v>
      </c>
      <c r="H592" t="s">
        <v>79</v>
      </c>
      <c r="I592" t="s">
        <v>24</v>
      </c>
      <c r="J592">
        <v>22</v>
      </c>
      <c r="K592">
        <f t="shared" si="46"/>
        <v>22</v>
      </c>
      <c r="L592" t="s">
        <v>321</v>
      </c>
      <c r="M592" t="str">
        <f t="shared" si="47"/>
        <v> 20</v>
      </c>
      <c r="N592">
        <v>3.6</v>
      </c>
      <c r="O592" s="3">
        <f t="shared" si="48"/>
        <v>3.6</v>
      </c>
      <c r="P592" t="s">
        <v>38</v>
      </c>
      <c r="Q592" t="str" cm="1">
        <f t="array" ref="Q592">_xlfn.IFS(ISBLANK(P592),"Not Specified",OR(P592="N",P592=FALSE,P592="no",P592=0),"no",TRUE,"yes")</f>
        <v>no</v>
      </c>
      <c r="R592" s="5">
        <v>0.63</v>
      </c>
      <c r="S592">
        <f t="shared" si="49"/>
        <v>63</v>
      </c>
    </row>
    <row r="593" spans="1:19">
      <c r="A593" t="s">
        <v>1271</v>
      </c>
      <c r="B593" t="s">
        <v>1272</v>
      </c>
      <c r="C593" t="s">
        <v>46</v>
      </c>
      <c r="D593" t="str" cm="1">
        <f t="array" ref="D593">_xlfn.IFS(OR(LOWER(C593)="f",LOWER(C593)="female"),"Female",TRUE,"Male")</f>
        <v>Female</v>
      </c>
      <c r="E593">
        <v>52</v>
      </c>
      <c r="F593">
        <f t="shared" si="45"/>
        <v>52</v>
      </c>
      <c r="G593" t="s">
        <v>135</v>
      </c>
      <c r="H593" t="s">
        <v>29</v>
      </c>
      <c r="I593" t="s">
        <v>85</v>
      </c>
      <c r="J593">
        <v>22</v>
      </c>
      <c r="K593">
        <f t="shared" si="46"/>
        <v>22</v>
      </c>
      <c r="L593" t="s">
        <v>128</v>
      </c>
      <c r="M593" t="str">
        <f t="shared" si="47"/>
        <v>20</v>
      </c>
      <c r="N593">
        <v>0</v>
      </c>
      <c r="O593" s="3" t="str">
        <f t="shared" si="48"/>
        <v>Not Specified</v>
      </c>
      <c r="P593">
        <v>0</v>
      </c>
      <c r="Q593" t="str" cm="1">
        <f t="array" ref="Q593">_xlfn.IFS(ISBLANK(P593),"Not Specified",OR(P593="N",P593=FALSE,P593="no",P593=0),"no",TRUE,"yes")</f>
        <v>no</v>
      </c>
      <c r="S593" t="str">
        <f t="shared" si="49"/>
        <v>Not Specified</v>
      </c>
    </row>
    <row r="594" spans="1:19">
      <c r="A594" t="s">
        <v>1273</v>
      </c>
      <c r="B594" t="s">
        <v>1274</v>
      </c>
      <c r="C594" t="s">
        <v>46</v>
      </c>
      <c r="D594" t="str" cm="1">
        <f t="array" ref="D594">_xlfn.IFS(OR(LOWER(C594)="f",LOWER(C594)="female"),"Female",TRUE,"Male")</f>
        <v>Female</v>
      </c>
      <c r="E594">
        <v>24</v>
      </c>
      <c r="F594">
        <f t="shared" si="45"/>
        <v>24</v>
      </c>
      <c r="G594" t="s">
        <v>182</v>
      </c>
      <c r="H594" t="s">
        <v>183</v>
      </c>
      <c r="I594" t="s">
        <v>24</v>
      </c>
      <c r="J594">
        <v>5</v>
      </c>
      <c r="K594">
        <f t="shared" si="46"/>
        <v>5</v>
      </c>
      <c r="L594">
        <v>40</v>
      </c>
      <c r="M594" t="str">
        <f t="shared" si="47"/>
        <v>40</v>
      </c>
      <c r="N594">
        <v>1.8</v>
      </c>
      <c r="O594" s="3">
        <f t="shared" si="48"/>
        <v>1.8</v>
      </c>
      <c r="P594">
        <v>1</v>
      </c>
      <c r="Q594" t="str" cm="1">
        <f t="array" ref="Q594">_xlfn.IFS(ISBLANK(P594),"Not Specified",OR(P594="N",P594=FALSE,P594="no",P594=0),"no",TRUE,"yes")</f>
        <v>yes</v>
      </c>
      <c r="R594" s="5">
        <v>0.86</v>
      </c>
      <c r="S594">
        <f t="shared" si="49"/>
        <v>86</v>
      </c>
    </row>
    <row r="595" spans="1:19">
      <c r="A595" t="s">
        <v>1275</v>
      </c>
      <c r="B595" t="s">
        <v>1276</v>
      </c>
      <c r="C595" t="s">
        <v>27</v>
      </c>
      <c r="D595" t="str" cm="1">
        <f t="array" ref="D595">_xlfn.IFS(OR(LOWER(C595)="f",LOWER(C595)="female"),"Female",TRUE,"Male")</f>
        <v>Female</v>
      </c>
      <c r="E595">
        <v>26</v>
      </c>
      <c r="F595">
        <f t="shared" si="45"/>
        <v>26</v>
      </c>
      <c r="G595" t="s">
        <v>28</v>
      </c>
      <c r="H595" t="s">
        <v>29</v>
      </c>
      <c r="I595" t="s">
        <v>37</v>
      </c>
      <c r="J595">
        <v>2</v>
      </c>
      <c r="K595">
        <f t="shared" si="46"/>
        <v>2</v>
      </c>
      <c r="L595" t="s">
        <v>59</v>
      </c>
      <c r="M595" t="str">
        <f t="shared" si="47"/>
        <v> 75</v>
      </c>
      <c r="N595">
        <v>2.5</v>
      </c>
      <c r="O595" s="3">
        <f t="shared" si="48"/>
        <v>2.5</v>
      </c>
      <c r="P595" t="s">
        <v>75</v>
      </c>
      <c r="Q595" t="str" cm="1">
        <f t="array" ref="Q595">_xlfn.IFS(ISBLANK(P595),"Not Specified",OR(P595="N",P595=FALSE,P595="no",P595=0),"no",TRUE,"yes")</f>
        <v>yes</v>
      </c>
      <c r="R595">
        <v>60</v>
      </c>
      <c r="S595">
        <f t="shared" si="49"/>
        <v>60</v>
      </c>
    </row>
    <row r="596" spans="1:19">
      <c r="A596" t="s">
        <v>1277</v>
      </c>
      <c r="B596" t="s">
        <v>1278</v>
      </c>
      <c r="C596" t="s">
        <v>99</v>
      </c>
      <c r="D596" t="str" cm="1">
        <f t="array" ref="D596">_xlfn.IFS(OR(LOWER(C596)="f",LOWER(C596)="female"),"Female",TRUE,"Male")</f>
        <v>Male</v>
      </c>
      <c r="E596">
        <v>55</v>
      </c>
      <c r="F596">
        <f t="shared" si="45"/>
        <v>55</v>
      </c>
      <c r="G596" t="s">
        <v>135</v>
      </c>
      <c r="H596" t="s">
        <v>29</v>
      </c>
      <c r="I596" t="s">
        <v>85</v>
      </c>
      <c r="J596">
        <v>24</v>
      </c>
      <c r="K596">
        <f t="shared" si="46"/>
        <v>24</v>
      </c>
      <c r="L596">
        <v>40</v>
      </c>
      <c r="M596" t="str">
        <f t="shared" si="47"/>
        <v>40</v>
      </c>
      <c r="N596">
        <v>2</v>
      </c>
      <c r="O596" s="3">
        <f t="shared" si="48"/>
        <v>2</v>
      </c>
      <c r="P596">
        <v>1</v>
      </c>
      <c r="Q596" t="str" cm="1">
        <f t="array" ref="Q596">_xlfn.IFS(ISBLANK(P596),"Not Specified",OR(P596="N",P596=FALSE,P596="no",P596=0),"no",TRUE,"yes")</f>
        <v>yes</v>
      </c>
      <c r="R596">
        <v>88</v>
      </c>
      <c r="S596">
        <f t="shared" si="49"/>
        <v>88</v>
      </c>
    </row>
    <row r="597" spans="1:19">
      <c r="A597" t="s">
        <v>1279</v>
      </c>
      <c r="B597" t="s">
        <v>1280</v>
      </c>
      <c r="C597" t="s">
        <v>27</v>
      </c>
      <c r="D597" t="str" cm="1">
        <f t="array" ref="D597">_xlfn.IFS(OR(LOWER(C597)="f",LOWER(C597)="female"),"Female",TRUE,"Male")</f>
        <v>Female</v>
      </c>
      <c r="E597">
        <v>56</v>
      </c>
      <c r="F597">
        <f t="shared" si="45"/>
        <v>56</v>
      </c>
      <c r="G597" t="s">
        <v>22</v>
      </c>
      <c r="H597" t="s">
        <v>23</v>
      </c>
      <c r="I597" t="s">
        <v>30</v>
      </c>
      <c r="J597">
        <v>37</v>
      </c>
      <c r="K597">
        <f t="shared" si="46"/>
        <v>37</v>
      </c>
      <c r="L597">
        <v>40</v>
      </c>
      <c r="M597" t="str">
        <f t="shared" si="47"/>
        <v>40</v>
      </c>
      <c r="N597">
        <v>0</v>
      </c>
      <c r="O597" s="3" t="str">
        <f t="shared" si="48"/>
        <v>Not Specified</v>
      </c>
      <c r="P597" t="s">
        <v>38</v>
      </c>
      <c r="Q597" t="str" cm="1">
        <f t="array" ref="Q597">_xlfn.IFS(ISBLANK(P597),"Not Specified",OR(P597="N",P597=FALSE,P597="no",P597=0),"no",TRUE,"yes")</f>
        <v>no</v>
      </c>
      <c r="R597" s="5">
        <v>0.7</v>
      </c>
      <c r="S597">
        <f t="shared" si="49"/>
        <v>70</v>
      </c>
    </row>
    <row r="598" spans="1:19">
      <c r="A598" t="s">
        <v>1281</v>
      </c>
      <c r="B598" t="s">
        <v>1282</v>
      </c>
      <c r="C598" t="s">
        <v>55</v>
      </c>
      <c r="D598" t="str" cm="1">
        <f t="array" ref="D598">_xlfn.IFS(OR(LOWER(C598)="f",LOWER(C598)="female"),"Female",TRUE,"Male")</f>
        <v>Male</v>
      </c>
      <c r="E598">
        <v>36</v>
      </c>
      <c r="F598">
        <f t="shared" si="45"/>
        <v>36</v>
      </c>
      <c r="G598" t="s">
        <v>142</v>
      </c>
      <c r="H598" t="s">
        <v>143</v>
      </c>
      <c r="I598" t="s">
        <v>37</v>
      </c>
      <c r="J598">
        <v>3</v>
      </c>
      <c r="K598">
        <f t="shared" si="46"/>
        <v>3</v>
      </c>
      <c r="L598" t="s">
        <v>105</v>
      </c>
      <c r="M598" t="str">
        <f t="shared" si="47"/>
        <v> 50</v>
      </c>
      <c r="N598">
        <v>1.3</v>
      </c>
      <c r="O598" s="3">
        <f t="shared" si="48"/>
        <v>1.3</v>
      </c>
      <c r="P598">
        <v>1</v>
      </c>
      <c r="Q598" t="str" cm="1">
        <f t="array" ref="Q598">_xlfn.IFS(ISBLANK(P598),"Not Specified",OR(P598="N",P598=FALSE,P598="no",P598=0),"no",TRUE,"yes")</f>
        <v>yes</v>
      </c>
      <c r="R598" s="5">
        <v>0.77</v>
      </c>
      <c r="S598">
        <f t="shared" si="49"/>
        <v>77</v>
      </c>
    </row>
    <row r="599" spans="1:19">
      <c r="A599" t="s">
        <v>1283</v>
      </c>
      <c r="B599" t="s">
        <v>1284</v>
      </c>
      <c r="C599" t="s">
        <v>99</v>
      </c>
      <c r="D599" t="str" cm="1">
        <f t="array" ref="D599">_xlfn.IFS(OR(LOWER(C599)="f",LOWER(C599)="female"),"Female",TRUE,"Male")</f>
        <v>Male</v>
      </c>
      <c r="E599">
        <v>48</v>
      </c>
      <c r="F599">
        <f t="shared" si="45"/>
        <v>48</v>
      </c>
      <c r="G599" t="s">
        <v>78</v>
      </c>
      <c r="H599" t="s">
        <v>79</v>
      </c>
      <c r="I599" t="s">
        <v>42</v>
      </c>
      <c r="J599">
        <v>18</v>
      </c>
      <c r="K599">
        <f t="shared" si="46"/>
        <v>18</v>
      </c>
      <c r="L599">
        <v>75</v>
      </c>
      <c r="M599" t="str">
        <f t="shared" si="47"/>
        <v>75</v>
      </c>
      <c r="N599">
        <v>0</v>
      </c>
      <c r="O599" s="3" t="str">
        <f t="shared" si="48"/>
        <v>Not Specified</v>
      </c>
      <c r="P599">
        <v>0</v>
      </c>
      <c r="Q599" t="str" cm="1">
        <f t="array" ref="Q599">_xlfn.IFS(ISBLANK(P599),"Not Specified",OR(P599="N",P599=FALSE,P599="no",P599=0),"no",TRUE,"yes")</f>
        <v>no</v>
      </c>
      <c r="R599" s="5">
        <v>0.8</v>
      </c>
      <c r="S599">
        <f t="shared" si="49"/>
        <v>80</v>
      </c>
    </row>
    <row r="600" spans="1:19">
      <c r="A600" t="s">
        <v>1285</v>
      </c>
      <c r="B600" t="s">
        <v>1286</v>
      </c>
      <c r="C600" t="s">
        <v>104</v>
      </c>
      <c r="D600" t="str" cm="1">
        <f t="array" ref="D600">_xlfn.IFS(OR(LOWER(C600)="f",LOWER(C600)="female"),"Female",TRUE,"Male")</f>
        <v>Male</v>
      </c>
      <c r="E600">
        <v>55</v>
      </c>
      <c r="F600">
        <f t="shared" si="45"/>
        <v>55</v>
      </c>
      <c r="G600" t="s">
        <v>146</v>
      </c>
      <c r="H600" t="s">
        <v>147</v>
      </c>
      <c r="I600" t="s">
        <v>121</v>
      </c>
      <c r="J600">
        <v>6</v>
      </c>
      <c r="K600">
        <f t="shared" si="46"/>
        <v>6</v>
      </c>
      <c r="L600" t="s">
        <v>43</v>
      </c>
      <c r="M600" t="str">
        <f t="shared" si="47"/>
        <v>40</v>
      </c>
      <c r="N600">
        <v>3.6</v>
      </c>
      <c r="O600" s="3">
        <f t="shared" si="48"/>
        <v>3.6</v>
      </c>
      <c r="P600" t="s">
        <v>81</v>
      </c>
      <c r="Q600" t="str" cm="1">
        <f t="array" ref="Q600">_xlfn.IFS(ISBLANK(P600),"Not Specified",OR(P600="N",P600=FALSE,P600="no",P600=0),"no",TRUE,"yes")</f>
        <v>yes</v>
      </c>
      <c r="S600" t="str">
        <f t="shared" si="49"/>
        <v>Not Specified</v>
      </c>
    </row>
    <row r="601" spans="1:19">
      <c r="A601" t="s">
        <v>1287</v>
      </c>
      <c r="B601" t="s">
        <v>1288</v>
      </c>
      <c r="C601" t="s">
        <v>46</v>
      </c>
      <c r="D601" t="str" cm="1">
        <f t="array" ref="D601">_xlfn.IFS(OR(LOWER(C601)="f",LOWER(C601)="female"),"Female",TRUE,"Male")</f>
        <v>Female</v>
      </c>
      <c r="E601">
        <v>56</v>
      </c>
      <c r="F601">
        <f t="shared" si="45"/>
        <v>56</v>
      </c>
      <c r="G601" t="s">
        <v>197</v>
      </c>
      <c r="H601" t="s">
        <v>79</v>
      </c>
      <c r="I601" t="s">
        <v>96</v>
      </c>
      <c r="J601">
        <v>17</v>
      </c>
      <c r="K601">
        <f t="shared" si="46"/>
        <v>17</v>
      </c>
      <c r="M601" t="str">
        <f t="shared" si="47"/>
        <v>Not Specified</v>
      </c>
      <c r="N601">
        <v>1.3</v>
      </c>
      <c r="O601" s="3">
        <f t="shared" si="48"/>
        <v>1.3</v>
      </c>
      <c r="Q601" t="str" cm="1">
        <f t="array" ref="Q601">_xlfn.IFS(ISBLANK(P601),"Not Specified",OR(P601="N",P601=FALSE,P601="no",P601=0),"no",TRUE,"yes")</f>
        <v>Not Specified</v>
      </c>
      <c r="R601" s="5">
        <v>0.87</v>
      </c>
      <c r="S601">
        <f t="shared" si="49"/>
        <v>87</v>
      </c>
    </row>
    <row r="602" spans="1:19">
      <c r="A602" t="s">
        <v>1289</v>
      </c>
      <c r="B602" t="s">
        <v>1290</v>
      </c>
      <c r="C602" t="s">
        <v>84</v>
      </c>
      <c r="D602" t="str" cm="1">
        <f t="array" ref="D602">_xlfn.IFS(OR(LOWER(C602)="f",LOWER(C602)="female"),"Female",TRUE,"Male")</f>
        <v>Female</v>
      </c>
      <c r="E602">
        <v>28</v>
      </c>
      <c r="F602">
        <f t="shared" si="45"/>
        <v>28</v>
      </c>
      <c r="G602" t="s">
        <v>135</v>
      </c>
      <c r="H602" t="s">
        <v>29</v>
      </c>
      <c r="I602" t="s">
        <v>24</v>
      </c>
      <c r="J602">
        <v>1</v>
      </c>
      <c r="K602">
        <f t="shared" si="46"/>
        <v>1</v>
      </c>
      <c r="L602">
        <v>75</v>
      </c>
      <c r="M602" t="str">
        <f t="shared" si="47"/>
        <v>75</v>
      </c>
      <c r="N602">
        <v>2.7</v>
      </c>
      <c r="O602" s="3">
        <f t="shared" si="48"/>
        <v>2.7</v>
      </c>
      <c r="P602" t="b">
        <v>1</v>
      </c>
      <c r="Q602" t="str" cm="1">
        <f t="array" ref="Q602">_xlfn.IFS(ISBLANK(P602),"Not Specified",OR(P602="N",P602=FALSE,P602="no",P602=0),"no",TRUE,"yes")</f>
        <v>yes</v>
      </c>
      <c r="R602" s="5">
        <v>0.93</v>
      </c>
      <c r="S602">
        <f t="shared" si="49"/>
        <v>93</v>
      </c>
    </row>
    <row r="603" spans="1:19">
      <c r="A603" t="s">
        <v>1291</v>
      </c>
      <c r="B603" t="s">
        <v>1292</v>
      </c>
      <c r="C603" t="s">
        <v>34</v>
      </c>
      <c r="D603" t="str" cm="1">
        <f t="array" ref="D603">_xlfn.IFS(OR(LOWER(C603)="f",LOWER(C603)="female"),"Female",TRUE,"Male")</f>
        <v>Male</v>
      </c>
      <c r="E603">
        <v>60</v>
      </c>
      <c r="F603">
        <f t="shared" si="45"/>
        <v>60</v>
      </c>
      <c r="G603" t="s">
        <v>65</v>
      </c>
      <c r="H603" t="s">
        <v>29</v>
      </c>
      <c r="I603" t="s">
        <v>51</v>
      </c>
      <c r="J603">
        <v>39</v>
      </c>
      <c r="K603">
        <f t="shared" si="46"/>
        <v>39</v>
      </c>
      <c r="L603" t="s">
        <v>31</v>
      </c>
      <c r="M603" t="str">
        <f t="shared" si="47"/>
        <v> 100</v>
      </c>
      <c r="N603">
        <v>1.5</v>
      </c>
      <c r="O603" s="3">
        <f t="shared" si="48"/>
        <v>1.5</v>
      </c>
      <c r="Q603" t="str" cm="1">
        <f t="array" ref="Q603">_xlfn.IFS(ISBLANK(P603),"Not Specified",OR(P603="N",P603=FALSE,P603="no",P603=0),"no",TRUE,"yes")</f>
        <v>Not Specified</v>
      </c>
      <c r="R603">
        <v>88</v>
      </c>
      <c r="S603">
        <f t="shared" si="49"/>
        <v>88</v>
      </c>
    </row>
    <row r="604" spans="1:19">
      <c r="A604" t="s">
        <v>1293</v>
      </c>
      <c r="B604" t="s">
        <v>1294</v>
      </c>
      <c r="C604" t="s">
        <v>34</v>
      </c>
      <c r="D604" t="str" cm="1">
        <f t="array" ref="D604">_xlfn.IFS(OR(LOWER(C604)="f",LOWER(C604)="female"),"Female",TRUE,"Male")</f>
        <v>Male</v>
      </c>
      <c r="E604">
        <v>34</v>
      </c>
      <c r="F604">
        <f t="shared" si="45"/>
        <v>34</v>
      </c>
      <c r="G604" t="s">
        <v>119</v>
      </c>
      <c r="H604" t="s">
        <v>120</v>
      </c>
      <c r="I604" t="s">
        <v>24</v>
      </c>
      <c r="J604">
        <v>15</v>
      </c>
      <c r="K604">
        <f t="shared" si="46"/>
        <v>15</v>
      </c>
      <c r="L604">
        <v>20</v>
      </c>
      <c r="M604" t="str">
        <f t="shared" si="47"/>
        <v>20</v>
      </c>
      <c r="N604">
        <v>0</v>
      </c>
      <c r="O604" s="3" t="str">
        <f t="shared" si="48"/>
        <v>Not Specified</v>
      </c>
      <c r="P604">
        <v>0</v>
      </c>
      <c r="Q604" t="str" cm="1">
        <f t="array" ref="Q604">_xlfn.IFS(ISBLANK(P604),"Not Specified",OR(P604="N",P604=FALSE,P604="no",P604=0),"no",TRUE,"yes")</f>
        <v>no</v>
      </c>
      <c r="R604" s="5">
        <v>1</v>
      </c>
      <c r="S604">
        <f t="shared" si="49"/>
        <v>100</v>
      </c>
    </row>
    <row r="605" spans="1:19">
      <c r="A605" t="s">
        <v>1295</v>
      </c>
      <c r="B605" t="s">
        <v>1296</v>
      </c>
      <c r="C605" t="s">
        <v>46</v>
      </c>
      <c r="D605" t="str" cm="1">
        <f t="array" ref="D605">_xlfn.IFS(OR(LOWER(C605)="f",LOWER(C605)="female"),"Female",TRUE,"Male")</f>
        <v>Female</v>
      </c>
      <c r="E605">
        <v>38</v>
      </c>
      <c r="F605">
        <f t="shared" si="45"/>
        <v>38</v>
      </c>
      <c r="G605" t="s">
        <v>56</v>
      </c>
      <c r="H605" t="s">
        <v>57</v>
      </c>
      <c r="I605" t="s">
        <v>51</v>
      </c>
      <c r="J605">
        <v>13</v>
      </c>
      <c r="K605">
        <f t="shared" si="46"/>
        <v>13</v>
      </c>
      <c r="L605" t="s">
        <v>43</v>
      </c>
      <c r="M605" t="str">
        <f t="shared" si="47"/>
        <v>40</v>
      </c>
      <c r="N605">
        <v>0</v>
      </c>
      <c r="O605" s="3" t="str">
        <f t="shared" si="48"/>
        <v>Not Specified</v>
      </c>
      <c r="P605">
        <v>1</v>
      </c>
      <c r="Q605" t="str" cm="1">
        <f t="array" ref="Q605">_xlfn.IFS(ISBLANK(P605),"Not Specified",OR(P605="N",P605=FALSE,P605="no",P605=0),"no",TRUE,"yes")</f>
        <v>yes</v>
      </c>
      <c r="R605">
        <v>61</v>
      </c>
      <c r="S605">
        <f t="shared" si="49"/>
        <v>61</v>
      </c>
    </row>
    <row r="606" spans="1:19">
      <c r="A606" t="s">
        <v>1297</v>
      </c>
      <c r="B606" t="s">
        <v>1298</v>
      </c>
      <c r="C606" t="s">
        <v>27</v>
      </c>
      <c r="D606" t="str" cm="1">
        <f t="array" ref="D606">_xlfn.IFS(OR(LOWER(C606)="f",LOWER(C606)="female"),"Female",TRUE,"Male")</f>
        <v>Female</v>
      </c>
      <c r="E606">
        <v>51</v>
      </c>
      <c r="F606">
        <f t="shared" si="45"/>
        <v>51</v>
      </c>
      <c r="G606" t="s">
        <v>119</v>
      </c>
      <c r="H606" t="s">
        <v>120</v>
      </c>
      <c r="I606" t="s">
        <v>42</v>
      </c>
      <c r="J606">
        <v>17</v>
      </c>
      <c r="K606">
        <f t="shared" si="46"/>
        <v>17</v>
      </c>
      <c r="L606">
        <v>100</v>
      </c>
      <c r="M606" t="str">
        <f t="shared" si="47"/>
        <v>100</v>
      </c>
      <c r="N606">
        <v>3</v>
      </c>
      <c r="O606" s="3">
        <f t="shared" si="48"/>
        <v>3</v>
      </c>
      <c r="P606" t="b">
        <v>0</v>
      </c>
      <c r="Q606" t="str" cm="1">
        <f t="array" ref="Q606">_xlfn.IFS(ISBLANK(P606),"Not Specified",OR(P606="N",P606=FALSE,P606="no",P606=0),"no",TRUE,"yes")</f>
        <v>no</v>
      </c>
      <c r="R606" s="5">
        <v>0.79</v>
      </c>
      <c r="S606">
        <f t="shared" si="49"/>
        <v>79</v>
      </c>
    </row>
    <row r="607" spans="1:19">
      <c r="A607" t="s">
        <v>1299</v>
      </c>
      <c r="B607" t="s">
        <v>1300</v>
      </c>
      <c r="C607" t="s">
        <v>21</v>
      </c>
      <c r="D607" t="str" cm="1">
        <f t="array" ref="D607">_xlfn.IFS(OR(LOWER(C607)="f",LOWER(C607)="female"),"Female",TRUE,"Male")</f>
        <v>Female</v>
      </c>
      <c r="E607">
        <v>21</v>
      </c>
      <c r="F607">
        <f t="shared" si="45"/>
        <v>21</v>
      </c>
      <c r="G607" t="s">
        <v>92</v>
      </c>
      <c r="H607" t="s">
        <v>93</v>
      </c>
      <c r="I607" t="s">
        <v>30</v>
      </c>
      <c r="J607">
        <v>1</v>
      </c>
      <c r="K607">
        <f t="shared" si="46"/>
        <v>1</v>
      </c>
      <c r="L607">
        <v>30</v>
      </c>
      <c r="M607" t="str">
        <f t="shared" si="47"/>
        <v>30</v>
      </c>
      <c r="N607">
        <v>1.2</v>
      </c>
      <c r="O607" s="3">
        <f t="shared" si="48"/>
        <v>1.2</v>
      </c>
      <c r="Q607" t="str" cm="1">
        <f t="array" ref="Q607">_xlfn.IFS(ISBLANK(P607),"Not Specified",OR(P607="N",P607=FALSE,P607="no",P607=0),"no",TRUE,"yes")</f>
        <v>Not Specified</v>
      </c>
      <c r="R607" s="5">
        <v>0.73</v>
      </c>
      <c r="S607">
        <f t="shared" si="49"/>
        <v>73</v>
      </c>
    </row>
    <row r="608" spans="1:19">
      <c r="A608" t="s">
        <v>1301</v>
      </c>
      <c r="B608" t="s">
        <v>1302</v>
      </c>
      <c r="C608" t="s">
        <v>99</v>
      </c>
      <c r="D608" t="str" cm="1">
        <f t="array" ref="D608">_xlfn.IFS(OR(LOWER(C608)="f",LOWER(C608)="female"),"Female",TRUE,"Male")</f>
        <v>Male</v>
      </c>
      <c r="E608">
        <v>35</v>
      </c>
      <c r="F608">
        <f t="shared" si="45"/>
        <v>35</v>
      </c>
      <c r="G608" t="s">
        <v>22</v>
      </c>
      <c r="H608" t="s">
        <v>23</v>
      </c>
      <c r="I608" t="s">
        <v>80</v>
      </c>
      <c r="J608">
        <v>16</v>
      </c>
      <c r="K608">
        <f t="shared" si="46"/>
        <v>16</v>
      </c>
      <c r="M608" t="str">
        <f t="shared" si="47"/>
        <v>Not Specified</v>
      </c>
      <c r="N608">
        <v>1.3</v>
      </c>
      <c r="O608" s="3">
        <f t="shared" si="48"/>
        <v>1.3</v>
      </c>
      <c r="P608">
        <v>1</v>
      </c>
      <c r="Q608" t="str" cm="1">
        <f t="array" ref="Q608">_xlfn.IFS(ISBLANK(P608),"Not Specified",OR(P608="N",P608=FALSE,P608="no",P608=0),"no",TRUE,"yes")</f>
        <v>yes</v>
      </c>
      <c r="R608" s="5">
        <v>0.64</v>
      </c>
      <c r="S608">
        <f t="shared" si="49"/>
        <v>64</v>
      </c>
    </row>
    <row r="609" spans="1:19">
      <c r="A609" t="s">
        <v>1303</v>
      </c>
      <c r="B609" t="s">
        <v>1304</v>
      </c>
      <c r="C609" t="s">
        <v>99</v>
      </c>
      <c r="D609" t="str" cm="1">
        <f t="array" ref="D609">_xlfn.IFS(OR(LOWER(C609)="f",LOWER(C609)="female"),"Female",TRUE,"Male")</f>
        <v>Male</v>
      </c>
      <c r="E609">
        <v>27</v>
      </c>
      <c r="F609">
        <f t="shared" si="45"/>
        <v>27</v>
      </c>
      <c r="G609" t="s">
        <v>114</v>
      </c>
      <c r="H609" t="s">
        <v>115</v>
      </c>
      <c r="I609" t="s">
        <v>42</v>
      </c>
      <c r="J609">
        <v>9</v>
      </c>
      <c r="K609">
        <f t="shared" si="46"/>
        <v>9</v>
      </c>
      <c r="L609" t="s">
        <v>236</v>
      </c>
      <c r="M609" t="str">
        <f t="shared" si="47"/>
        <v>100</v>
      </c>
      <c r="O609" s="3" t="str">
        <f t="shared" si="48"/>
        <v>Not Specified</v>
      </c>
      <c r="P609" t="b">
        <v>1</v>
      </c>
      <c r="Q609" t="str" cm="1">
        <f t="array" ref="Q609">_xlfn.IFS(ISBLANK(P609),"Not Specified",OR(P609="N",P609=FALSE,P609="no",P609=0),"no",TRUE,"yes")</f>
        <v>yes</v>
      </c>
      <c r="S609" t="str">
        <f t="shared" si="49"/>
        <v>Not Specified</v>
      </c>
    </row>
    <row r="610" spans="1:19">
      <c r="A610" t="s">
        <v>1305</v>
      </c>
      <c r="B610" t="s">
        <v>1306</v>
      </c>
      <c r="C610" t="s">
        <v>27</v>
      </c>
      <c r="D610" t="str" cm="1">
        <f t="array" ref="D610">_xlfn.IFS(OR(LOWER(C610)="f",LOWER(C610)="female"),"Female",TRUE,"Male")</f>
        <v>Female</v>
      </c>
      <c r="E610">
        <v>42</v>
      </c>
      <c r="F610">
        <f t="shared" si="45"/>
        <v>42</v>
      </c>
      <c r="G610" t="s">
        <v>69</v>
      </c>
      <c r="H610" t="s">
        <v>70</v>
      </c>
      <c r="I610" t="s">
        <v>30</v>
      </c>
      <c r="J610">
        <v>20</v>
      </c>
      <c r="K610">
        <f t="shared" si="46"/>
        <v>20</v>
      </c>
      <c r="L610" t="s">
        <v>105</v>
      </c>
      <c r="M610" t="str">
        <f t="shared" si="47"/>
        <v> 50</v>
      </c>
      <c r="N610">
        <v>3.8</v>
      </c>
      <c r="O610" s="3">
        <f t="shared" si="48"/>
        <v>3.8</v>
      </c>
      <c r="P610" t="s">
        <v>38</v>
      </c>
      <c r="Q610" t="str" cm="1">
        <f t="array" ref="Q610">_xlfn.IFS(ISBLANK(P610),"Not Specified",OR(P610="N",P610=FALSE,P610="no",P610=0),"no",TRUE,"yes")</f>
        <v>no</v>
      </c>
      <c r="R610" s="5">
        <v>0.93</v>
      </c>
      <c r="S610">
        <f t="shared" si="49"/>
        <v>93</v>
      </c>
    </row>
    <row r="611" spans="1:19">
      <c r="A611" t="s">
        <v>1307</v>
      </c>
      <c r="B611" t="s">
        <v>1308</v>
      </c>
      <c r="C611" t="s">
        <v>41</v>
      </c>
      <c r="D611" t="str" cm="1">
        <f t="array" ref="D611">_xlfn.IFS(OR(LOWER(C611)="f",LOWER(C611)="female"),"Female",TRUE,"Male")</f>
        <v>Female</v>
      </c>
      <c r="E611">
        <v>52</v>
      </c>
      <c r="F611">
        <f t="shared" si="45"/>
        <v>52</v>
      </c>
      <c r="G611" t="s">
        <v>135</v>
      </c>
      <c r="H611" t="s">
        <v>29</v>
      </c>
      <c r="I611" t="s">
        <v>24</v>
      </c>
      <c r="J611">
        <v>29</v>
      </c>
      <c r="K611">
        <f t="shared" si="46"/>
        <v>29</v>
      </c>
      <c r="L611">
        <v>30</v>
      </c>
      <c r="M611" t="str">
        <f t="shared" si="47"/>
        <v>30</v>
      </c>
      <c r="N611">
        <v>3.8</v>
      </c>
      <c r="O611" s="3">
        <f t="shared" si="48"/>
        <v>3.8</v>
      </c>
      <c r="P611">
        <v>0</v>
      </c>
      <c r="Q611" t="str" cm="1">
        <f t="array" ref="Q611">_xlfn.IFS(ISBLANK(P611),"Not Specified",OR(P611="N",P611=FALSE,P611="no",P611=0),"no",TRUE,"yes")</f>
        <v>no</v>
      </c>
      <c r="R611" s="5">
        <v>0.68</v>
      </c>
      <c r="S611">
        <f t="shared" si="49"/>
        <v>68</v>
      </c>
    </row>
    <row r="612" spans="1:19">
      <c r="A612" t="s">
        <v>1309</v>
      </c>
      <c r="B612" t="s">
        <v>1310</v>
      </c>
      <c r="C612" t="s">
        <v>34</v>
      </c>
      <c r="D612" t="str" cm="1">
        <f t="array" ref="D612">_xlfn.IFS(OR(LOWER(C612)="f",LOWER(C612)="female"),"Female",TRUE,"Male")</f>
        <v>Male</v>
      </c>
      <c r="E612">
        <v>53</v>
      </c>
      <c r="F612">
        <f t="shared" si="45"/>
        <v>53</v>
      </c>
      <c r="G612" t="s">
        <v>119</v>
      </c>
      <c r="H612" t="s">
        <v>120</v>
      </c>
      <c r="I612" t="s">
        <v>42</v>
      </c>
      <c r="J612">
        <v>21</v>
      </c>
      <c r="K612">
        <f t="shared" si="46"/>
        <v>21</v>
      </c>
      <c r="L612">
        <v>40</v>
      </c>
      <c r="M612" t="str">
        <f t="shared" si="47"/>
        <v>40</v>
      </c>
      <c r="N612">
        <v>4.7</v>
      </c>
      <c r="O612" s="3">
        <f t="shared" si="48"/>
        <v>4.7</v>
      </c>
      <c r="P612">
        <v>1</v>
      </c>
      <c r="Q612" t="str" cm="1">
        <f t="array" ref="Q612">_xlfn.IFS(ISBLANK(P612),"Not Specified",OR(P612="N",P612=FALSE,P612="no",P612=0),"no",TRUE,"yes")</f>
        <v>yes</v>
      </c>
      <c r="R612" s="5">
        <v>0.62</v>
      </c>
      <c r="S612">
        <f t="shared" si="49"/>
        <v>62</v>
      </c>
    </row>
    <row r="613" spans="1:19">
      <c r="A613" t="s">
        <v>1311</v>
      </c>
      <c r="B613" t="s">
        <v>1312</v>
      </c>
      <c r="C613" t="s">
        <v>27</v>
      </c>
      <c r="D613" t="str" cm="1">
        <f t="array" ref="D613">_xlfn.IFS(OR(LOWER(C613)="f",LOWER(C613)="female"),"Female",TRUE,"Male")</f>
        <v>Female</v>
      </c>
      <c r="E613">
        <v>54</v>
      </c>
      <c r="F613">
        <f t="shared" si="45"/>
        <v>54</v>
      </c>
      <c r="G613" t="s">
        <v>22</v>
      </c>
      <c r="H613" t="s">
        <v>23</v>
      </c>
      <c r="I613" t="s">
        <v>30</v>
      </c>
      <c r="J613">
        <v>28</v>
      </c>
      <c r="K613">
        <f t="shared" si="46"/>
        <v>28</v>
      </c>
      <c r="L613" t="s">
        <v>62</v>
      </c>
      <c r="M613" t="str">
        <f t="shared" si="47"/>
        <v> 40</v>
      </c>
      <c r="N613">
        <v>1.1</v>
      </c>
      <c r="O613" s="3">
        <f t="shared" si="48"/>
        <v>1.1</v>
      </c>
      <c r="P613" t="s">
        <v>166</v>
      </c>
      <c r="Q613" t="str" cm="1">
        <f t="array" ref="Q613">_xlfn.IFS(ISBLANK(P613),"Not Specified",OR(P613="N",P613=FALSE,P613="no",P613=0),"no",TRUE,"yes")</f>
        <v>no</v>
      </c>
      <c r="S613" t="str">
        <f t="shared" si="49"/>
        <v>Not Specified</v>
      </c>
    </row>
    <row r="614" spans="1:19">
      <c r="A614" t="s">
        <v>1313</v>
      </c>
      <c r="B614" t="s">
        <v>1314</v>
      </c>
      <c r="C614" t="s">
        <v>68</v>
      </c>
      <c r="D614" t="str" cm="1">
        <f t="array" ref="D614">_xlfn.IFS(OR(LOWER(C614)="f",LOWER(C614)="female"),"Female",TRUE,"Male")</f>
        <v>Male</v>
      </c>
      <c r="E614">
        <v>51</v>
      </c>
      <c r="F614">
        <f t="shared" si="45"/>
        <v>51</v>
      </c>
      <c r="G614" t="s">
        <v>92</v>
      </c>
      <c r="H614" t="s">
        <v>93</v>
      </c>
      <c r="I614" t="s">
        <v>37</v>
      </c>
      <c r="J614">
        <v>5</v>
      </c>
      <c r="K614">
        <f t="shared" si="46"/>
        <v>5</v>
      </c>
      <c r="L614">
        <v>50</v>
      </c>
      <c r="M614" t="str">
        <f t="shared" si="47"/>
        <v>50</v>
      </c>
      <c r="N614">
        <v>4.2</v>
      </c>
      <c r="O614" s="3">
        <f t="shared" si="48"/>
        <v>4.2</v>
      </c>
      <c r="P614">
        <v>1</v>
      </c>
      <c r="Q614" t="str" cm="1">
        <f t="array" ref="Q614">_xlfn.IFS(ISBLANK(P614),"Not Specified",OR(P614="N",P614=FALSE,P614="no",P614=0),"no",TRUE,"yes")</f>
        <v>yes</v>
      </c>
      <c r="R614" s="5">
        <v>0.82</v>
      </c>
      <c r="S614">
        <f t="shared" si="49"/>
        <v>82</v>
      </c>
    </row>
    <row r="615" spans="1:19">
      <c r="A615" t="s">
        <v>1315</v>
      </c>
      <c r="B615" t="s">
        <v>1316</v>
      </c>
      <c r="C615" t="s">
        <v>21</v>
      </c>
      <c r="D615" t="str" cm="1">
        <f t="array" ref="D615">_xlfn.IFS(OR(LOWER(C615)="f",LOWER(C615)="female"),"Female",TRUE,"Male")</f>
        <v>Female</v>
      </c>
      <c r="E615">
        <v>30</v>
      </c>
      <c r="F615">
        <f t="shared" si="45"/>
        <v>30</v>
      </c>
      <c r="G615" t="s">
        <v>119</v>
      </c>
      <c r="H615" t="s">
        <v>120</v>
      </c>
      <c r="I615" t="s">
        <v>42</v>
      </c>
      <c r="J615">
        <v>0</v>
      </c>
      <c r="K615">
        <f t="shared" si="46"/>
        <v>0</v>
      </c>
      <c r="M615" t="str">
        <f t="shared" si="47"/>
        <v>Not Specified</v>
      </c>
      <c r="N615">
        <v>0</v>
      </c>
      <c r="O615" s="3" t="str">
        <f t="shared" si="48"/>
        <v>Not Specified</v>
      </c>
      <c r="P615">
        <v>0</v>
      </c>
      <c r="Q615" t="str" cm="1">
        <f t="array" ref="Q615">_xlfn.IFS(ISBLANK(P615),"Not Specified",OR(P615="N",P615=FALSE,P615="no",P615=0),"no",TRUE,"yes")</f>
        <v>no</v>
      </c>
      <c r="S615" t="str">
        <f t="shared" si="49"/>
        <v>Not Specified</v>
      </c>
    </row>
    <row r="616" spans="1:19">
      <c r="A616" t="s">
        <v>1317</v>
      </c>
      <c r="B616" t="s">
        <v>1318</v>
      </c>
      <c r="C616" t="s">
        <v>84</v>
      </c>
      <c r="D616" t="str" cm="1">
        <f t="array" ref="D616">_xlfn.IFS(OR(LOWER(C616)="f",LOWER(C616)="female"),"Female",TRUE,"Male")</f>
        <v>Female</v>
      </c>
      <c r="E616">
        <v>45</v>
      </c>
      <c r="F616">
        <f t="shared" si="45"/>
        <v>45</v>
      </c>
      <c r="G616" t="s">
        <v>49</v>
      </c>
      <c r="H616" t="s">
        <v>50</v>
      </c>
      <c r="I616" t="s">
        <v>121</v>
      </c>
      <c r="J616">
        <v>27</v>
      </c>
      <c r="K616">
        <f t="shared" si="46"/>
        <v>27</v>
      </c>
      <c r="L616" t="s">
        <v>59</v>
      </c>
      <c r="M616" t="str">
        <f t="shared" si="47"/>
        <v> 75</v>
      </c>
      <c r="N616">
        <v>0</v>
      </c>
      <c r="O616" s="3" t="str">
        <f t="shared" si="48"/>
        <v>Not Specified</v>
      </c>
      <c r="Q616" t="str" cm="1">
        <f t="array" ref="Q616">_xlfn.IFS(ISBLANK(P616),"Not Specified",OR(P616="N",P616=FALSE,P616="no",P616=0),"no",TRUE,"yes")</f>
        <v>Not Specified</v>
      </c>
      <c r="R616" s="5">
        <v>0.85</v>
      </c>
      <c r="S616">
        <f t="shared" si="49"/>
        <v>85</v>
      </c>
    </row>
    <row r="617" spans="1:19">
      <c r="A617" t="s">
        <v>1319</v>
      </c>
      <c r="B617" t="s">
        <v>1320</v>
      </c>
      <c r="C617" t="s">
        <v>34</v>
      </c>
      <c r="D617" t="str" cm="1">
        <f t="array" ref="D617">_xlfn.IFS(OR(LOWER(C617)="f",LOWER(C617)="female"),"Female",TRUE,"Male")</f>
        <v>Male</v>
      </c>
      <c r="E617">
        <v>57</v>
      </c>
      <c r="F617">
        <f t="shared" si="45"/>
        <v>57</v>
      </c>
      <c r="G617" t="s">
        <v>56</v>
      </c>
      <c r="H617" t="s">
        <v>57</v>
      </c>
      <c r="I617" t="s">
        <v>37</v>
      </c>
      <c r="J617">
        <v>26</v>
      </c>
      <c r="K617">
        <f t="shared" si="46"/>
        <v>26</v>
      </c>
      <c r="L617" t="s">
        <v>31</v>
      </c>
      <c r="M617" t="str">
        <f t="shared" si="47"/>
        <v> 100</v>
      </c>
      <c r="N617">
        <v>2.4</v>
      </c>
      <c r="O617" s="3">
        <f t="shared" si="48"/>
        <v>2.4</v>
      </c>
      <c r="P617">
        <v>1</v>
      </c>
      <c r="Q617" t="str" cm="1">
        <f t="array" ref="Q617">_xlfn.IFS(ISBLANK(P617),"Not Specified",OR(P617="N",P617=FALSE,P617="no",P617=0),"no",TRUE,"yes")</f>
        <v>yes</v>
      </c>
      <c r="R617" s="5">
        <v>0.78</v>
      </c>
      <c r="S617">
        <f t="shared" si="49"/>
        <v>78</v>
      </c>
    </row>
    <row r="618" spans="1:19">
      <c r="A618" t="s">
        <v>1321</v>
      </c>
      <c r="B618" t="s">
        <v>1322</v>
      </c>
      <c r="C618" t="s">
        <v>104</v>
      </c>
      <c r="D618" t="str" cm="1">
        <f t="array" ref="D618">_xlfn.IFS(OR(LOWER(C618)="f",LOWER(C618)="female"),"Female",TRUE,"Male")</f>
        <v>Male</v>
      </c>
      <c r="E618">
        <v>38</v>
      </c>
      <c r="F618">
        <f t="shared" si="45"/>
        <v>38</v>
      </c>
      <c r="G618" t="s">
        <v>69</v>
      </c>
      <c r="H618" t="s">
        <v>70</v>
      </c>
      <c r="I618" t="s">
        <v>24</v>
      </c>
      <c r="J618">
        <v>19</v>
      </c>
      <c r="K618">
        <f t="shared" si="46"/>
        <v>19</v>
      </c>
      <c r="L618">
        <v>40</v>
      </c>
      <c r="M618" t="str">
        <f t="shared" si="47"/>
        <v>40</v>
      </c>
      <c r="N618">
        <v>0</v>
      </c>
      <c r="O618" s="3" t="str">
        <f t="shared" si="48"/>
        <v>Not Specified</v>
      </c>
      <c r="P618">
        <v>1</v>
      </c>
      <c r="Q618" t="str" cm="1">
        <f t="array" ref="Q618">_xlfn.IFS(ISBLANK(P618),"Not Specified",OR(P618="N",P618=FALSE,P618="no",P618=0),"no",TRUE,"yes")</f>
        <v>yes</v>
      </c>
      <c r="R618" s="5">
        <v>0.86</v>
      </c>
      <c r="S618">
        <f t="shared" si="49"/>
        <v>86</v>
      </c>
    </row>
    <row r="619" spans="1:19">
      <c r="A619" t="s">
        <v>1323</v>
      </c>
      <c r="B619" t="s">
        <v>1324</v>
      </c>
      <c r="C619" t="s">
        <v>27</v>
      </c>
      <c r="D619" t="str" cm="1">
        <f t="array" ref="D619">_xlfn.IFS(OR(LOWER(C619)="f",LOWER(C619)="female"),"Female",TRUE,"Male")</f>
        <v>Female</v>
      </c>
      <c r="E619">
        <v>42</v>
      </c>
      <c r="F619">
        <f t="shared" si="45"/>
        <v>42</v>
      </c>
      <c r="G619" t="s">
        <v>131</v>
      </c>
      <c r="H619" t="s">
        <v>132</v>
      </c>
      <c r="I619" t="s">
        <v>96</v>
      </c>
      <c r="J619">
        <v>24</v>
      </c>
      <c r="K619">
        <f t="shared" si="46"/>
        <v>24</v>
      </c>
      <c r="L619" t="s">
        <v>62</v>
      </c>
      <c r="M619" t="str">
        <f t="shared" si="47"/>
        <v> 40</v>
      </c>
      <c r="O619" s="3" t="str">
        <f t="shared" si="48"/>
        <v>Not Specified</v>
      </c>
      <c r="P619" t="b">
        <v>0</v>
      </c>
      <c r="Q619" t="str" cm="1">
        <f t="array" ref="Q619">_xlfn.IFS(ISBLANK(P619),"Not Specified",OR(P619="N",P619=FALSE,P619="no",P619=0),"no",TRUE,"yes")</f>
        <v>no</v>
      </c>
      <c r="R619" s="5">
        <v>0.88</v>
      </c>
      <c r="S619">
        <f t="shared" si="49"/>
        <v>88</v>
      </c>
    </row>
    <row r="620" spans="1:19">
      <c r="A620" t="s">
        <v>1325</v>
      </c>
      <c r="B620" t="s">
        <v>1326</v>
      </c>
      <c r="C620" t="s">
        <v>84</v>
      </c>
      <c r="D620" t="str" cm="1">
        <f t="array" ref="D620">_xlfn.IFS(OR(LOWER(C620)="f",LOWER(C620)="female"),"Female",TRUE,"Male")</f>
        <v>Female</v>
      </c>
      <c r="E620">
        <v>30</v>
      </c>
      <c r="F620">
        <f t="shared" si="45"/>
        <v>30</v>
      </c>
      <c r="G620" t="s">
        <v>160</v>
      </c>
      <c r="H620" t="s">
        <v>161</v>
      </c>
      <c r="I620" t="s">
        <v>96</v>
      </c>
      <c r="J620">
        <v>7</v>
      </c>
      <c r="K620">
        <f t="shared" si="46"/>
        <v>7</v>
      </c>
      <c r="L620">
        <v>30</v>
      </c>
      <c r="M620" t="str">
        <f t="shared" si="47"/>
        <v>30</v>
      </c>
      <c r="N620">
        <v>3.3</v>
      </c>
      <c r="O620" s="3">
        <f t="shared" si="48"/>
        <v>3.3</v>
      </c>
      <c r="Q620" t="str" cm="1">
        <f t="array" ref="Q620">_xlfn.IFS(ISBLANK(P620),"Not Specified",OR(P620="N",P620=FALSE,P620="no",P620=0),"no",TRUE,"yes")</f>
        <v>Not Specified</v>
      </c>
      <c r="R620" s="5">
        <v>0.68</v>
      </c>
      <c r="S620">
        <f t="shared" si="49"/>
        <v>68</v>
      </c>
    </row>
    <row r="621" spans="1:19">
      <c r="A621" t="s">
        <v>1327</v>
      </c>
      <c r="B621" t="s">
        <v>1328</v>
      </c>
      <c r="C621" t="s">
        <v>46</v>
      </c>
      <c r="D621" t="str" cm="1">
        <f t="array" ref="D621">_xlfn.IFS(OR(LOWER(C621)="f",LOWER(C621)="female"),"Female",TRUE,"Male")</f>
        <v>Female</v>
      </c>
      <c r="E621">
        <v>43</v>
      </c>
      <c r="F621">
        <f t="shared" si="45"/>
        <v>43</v>
      </c>
      <c r="G621" t="s">
        <v>28</v>
      </c>
      <c r="H621" t="s">
        <v>29</v>
      </c>
      <c r="I621" t="s">
        <v>42</v>
      </c>
      <c r="J621">
        <v>13</v>
      </c>
      <c r="K621">
        <f t="shared" si="46"/>
        <v>13</v>
      </c>
      <c r="L621" t="s">
        <v>236</v>
      </c>
      <c r="M621" t="str">
        <f t="shared" si="47"/>
        <v>100</v>
      </c>
      <c r="N621">
        <v>1.4</v>
      </c>
      <c r="O621" s="3">
        <f t="shared" si="48"/>
        <v>1.4</v>
      </c>
      <c r="P621">
        <v>1</v>
      </c>
      <c r="Q621" t="str" cm="1">
        <f t="array" ref="Q621">_xlfn.IFS(ISBLANK(P621),"Not Specified",OR(P621="N",P621=FALSE,P621="no",P621=0),"no",TRUE,"yes")</f>
        <v>yes</v>
      </c>
      <c r="R621" s="5">
        <v>0.97</v>
      </c>
      <c r="S621">
        <f t="shared" si="49"/>
        <v>97</v>
      </c>
    </row>
    <row r="622" spans="1:19">
      <c r="A622" t="s">
        <v>1329</v>
      </c>
      <c r="B622" t="s">
        <v>1330</v>
      </c>
      <c r="C622" t="s">
        <v>104</v>
      </c>
      <c r="D622" t="str" cm="1">
        <f t="array" ref="D622">_xlfn.IFS(OR(LOWER(C622)="f",LOWER(C622)="female"),"Female",TRUE,"Male")</f>
        <v>Male</v>
      </c>
      <c r="E622">
        <v>22</v>
      </c>
      <c r="F622">
        <f t="shared" si="45"/>
        <v>22</v>
      </c>
      <c r="G622" t="s">
        <v>146</v>
      </c>
      <c r="H622" t="s">
        <v>147</v>
      </c>
      <c r="I622" t="s">
        <v>80</v>
      </c>
      <c r="J622">
        <v>2</v>
      </c>
      <c r="K622">
        <f t="shared" si="46"/>
        <v>2</v>
      </c>
      <c r="L622" t="s">
        <v>177</v>
      </c>
      <c r="M622" t="str">
        <f t="shared" si="47"/>
        <v>75</v>
      </c>
      <c r="N622">
        <v>1.7</v>
      </c>
      <c r="O622" s="3">
        <f t="shared" si="48"/>
        <v>1.7</v>
      </c>
      <c r="P622" t="s">
        <v>166</v>
      </c>
      <c r="Q622" t="str" cm="1">
        <f t="array" ref="Q622">_xlfn.IFS(ISBLANK(P622),"Not Specified",OR(P622="N",P622=FALSE,P622="no",P622=0),"no",TRUE,"yes")</f>
        <v>no</v>
      </c>
      <c r="R622" s="5">
        <v>0.91</v>
      </c>
      <c r="S622">
        <f t="shared" si="49"/>
        <v>91</v>
      </c>
    </row>
    <row r="623" spans="1:19">
      <c r="A623" t="s">
        <v>1331</v>
      </c>
      <c r="B623" t="s">
        <v>1332</v>
      </c>
      <c r="C623" t="s">
        <v>99</v>
      </c>
      <c r="D623" t="str" cm="1">
        <f t="array" ref="D623">_xlfn.IFS(OR(LOWER(C623)="f",LOWER(C623)="female"),"Female",TRUE,"Male")</f>
        <v>Male</v>
      </c>
      <c r="E623">
        <v>57</v>
      </c>
      <c r="F623">
        <f t="shared" si="45"/>
        <v>57</v>
      </c>
      <c r="G623" t="s">
        <v>186</v>
      </c>
      <c r="H623" t="s">
        <v>79</v>
      </c>
      <c r="I623" t="s">
        <v>121</v>
      </c>
      <c r="J623">
        <v>37</v>
      </c>
      <c r="K623">
        <f t="shared" si="46"/>
        <v>37</v>
      </c>
      <c r="L623">
        <v>30</v>
      </c>
      <c r="M623" t="str">
        <f t="shared" si="47"/>
        <v>30</v>
      </c>
      <c r="N623">
        <v>4.8</v>
      </c>
      <c r="O623" s="3">
        <f t="shared" si="48"/>
        <v>4.8</v>
      </c>
      <c r="P623" t="b">
        <v>0</v>
      </c>
      <c r="Q623" t="str" cm="1">
        <f t="array" ref="Q623">_xlfn.IFS(ISBLANK(P623),"Not Specified",OR(P623="N",P623=FALSE,P623="no",P623=0),"no",TRUE,"yes")</f>
        <v>no</v>
      </c>
      <c r="S623" t="str">
        <f t="shared" si="49"/>
        <v>Not Specified</v>
      </c>
    </row>
    <row r="624" spans="1:19">
      <c r="A624" t="s">
        <v>1333</v>
      </c>
      <c r="B624" t="s">
        <v>1334</v>
      </c>
      <c r="C624" t="s">
        <v>68</v>
      </c>
      <c r="D624" t="str" cm="1">
        <f t="array" ref="D624">_xlfn.IFS(OR(LOWER(C624)="f",LOWER(C624)="female"),"Female",TRUE,"Male")</f>
        <v>Male</v>
      </c>
      <c r="E624">
        <v>44</v>
      </c>
      <c r="F624">
        <f t="shared" si="45"/>
        <v>44</v>
      </c>
      <c r="G624" t="s">
        <v>74</v>
      </c>
      <c r="H624" t="s">
        <v>29</v>
      </c>
      <c r="I624" t="s">
        <v>37</v>
      </c>
      <c r="J624">
        <v>1</v>
      </c>
      <c r="K624">
        <f t="shared" si="46"/>
        <v>1</v>
      </c>
      <c r="M624" t="str">
        <f t="shared" si="47"/>
        <v>Not Specified</v>
      </c>
      <c r="N624">
        <v>4.8</v>
      </c>
      <c r="O624" s="3">
        <f t="shared" si="48"/>
        <v>4.8</v>
      </c>
      <c r="P624" t="s">
        <v>38</v>
      </c>
      <c r="Q624" t="str" cm="1">
        <f t="array" ref="Q624">_xlfn.IFS(ISBLANK(P624),"Not Specified",OR(P624="N",P624=FALSE,P624="no",P624=0),"no",TRUE,"yes")</f>
        <v>no</v>
      </c>
      <c r="R624" s="5">
        <v>0.97</v>
      </c>
      <c r="S624">
        <f t="shared" si="49"/>
        <v>97</v>
      </c>
    </row>
    <row r="625" spans="1:19">
      <c r="A625" t="s">
        <v>1335</v>
      </c>
      <c r="B625" t="s">
        <v>1336</v>
      </c>
      <c r="C625" t="s">
        <v>46</v>
      </c>
      <c r="D625" t="str" cm="1">
        <f t="array" ref="D625">_xlfn.IFS(OR(LOWER(C625)="f",LOWER(C625)="female"),"Female",TRUE,"Male")</f>
        <v>Female</v>
      </c>
      <c r="E625">
        <v>46</v>
      </c>
      <c r="F625">
        <f t="shared" si="45"/>
        <v>46</v>
      </c>
      <c r="G625" t="s">
        <v>182</v>
      </c>
      <c r="H625" t="s">
        <v>183</v>
      </c>
      <c r="I625" t="s">
        <v>96</v>
      </c>
      <c r="J625">
        <v>5</v>
      </c>
      <c r="K625">
        <f t="shared" si="46"/>
        <v>5</v>
      </c>
      <c r="L625" t="s">
        <v>116</v>
      </c>
      <c r="M625" t="str">
        <f t="shared" si="47"/>
        <v> 30</v>
      </c>
      <c r="N625">
        <v>2</v>
      </c>
      <c r="O625" s="3">
        <f t="shared" si="48"/>
        <v>2</v>
      </c>
      <c r="P625" t="s">
        <v>75</v>
      </c>
      <c r="Q625" t="str" cm="1">
        <f t="array" ref="Q625">_xlfn.IFS(ISBLANK(P625),"Not Specified",OR(P625="N",P625=FALSE,P625="no",P625=0),"no",TRUE,"yes")</f>
        <v>yes</v>
      </c>
      <c r="R625" s="5">
        <v>0.64</v>
      </c>
      <c r="S625">
        <f t="shared" si="49"/>
        <v>64</v>
      </c>
    </row>
    <row r="626" spans="1:19">
      <c r="A626" t="s">
        <v>1337</v>
      </c>
      <c r="B626" t="s">
        <v>1338</v>
      </c>
      <c r="C626" t="s">
        <v>104</v>
      </c>
      <c r="D626" t="str" cm="1">
        <f t="array" ref="D626">_xlfn.IFS(OR(LOWER(C626)="f",LOWER(C626)="female"),"Female",TRUE,"Male")</f>
        <v>Male</v>
      </c>
      <c r="F626" t="str">
        <f t="shared" si="45"/>
        <v>Not Specified</v>
      </c>
      <c r="G626" t="s">
        <v>197</v>
      </c>
      <c r="H626" t="s">
        <v>79</v>
      </c>
      <c r="I626" t="s">
        <v>24</v>
      </c>
      <c r="J626">
        <v>1</v>
      </c>
      <c r="K626">
        <f t="shared" si="46"/>
        <v>1</v>
      </c>
      <c r="L626" t="s">
        <v>105</v>
      </c>
      <c r="M626" t="str">
        <f t="shared" si="47"/>
        <v> 50</v>
      </c>
      <c r="N626">
        <v>2.8</v>
      </c>
      <c r="O626" s="3">
        <f t="shared" si="48"/>
        <v>2.8</v>
      </c>
      <c r="P626" t="s">
        <v>166</v>
      </c>
      <c r="Q626" t="str" cm="1">
        <f t="array" ref="Q626">_xlfn.IFS(ISBLANK(P626),"Not Specified",OR(P626="N",P626=FALSE,P626="no",P626=0),"no",TRUE,"yes")</f>
        <v>no</v>
      </c>
      <c r="R626" s="5">
        <v>0.87</v>
      </c>
      <c r="S626">
        <f t="shared" si="49"/>
        <v>87</v>
      </c>
    </row>
    <row r="627" spans="1:19">
      <c r="A627" t="s">
        <v>1339</v>
      </c>
      <c r="B627" t="s">
        <v>1340</v>
      </c>
      <c r="C627" t="s">
        <v>84</v>
      </c>
      <c r="D627" t="str" cm="1">
        <f t="array" ref="D627">_xlfn.IFS(OR(LOWER(C627)="f",LOWER(C627)="female"),"Female",TRUE,"Male")</f>
        <v>Female</v>
      </c>
      <c r="E627">
        <v>34</v>
      </c>
      <c r="F627">
        <f t="shared" si="45"/>
        <v>34</v>
      </c>
      <c r="G627" t="s">
        <v>28</v>
      </c>
      <c r="H627" t="s">
        <v>29</v>
      </c>
      <c r="I627" t="s">
        <v>58</v>
      </c>
      <c r="J627">
        <v>2</v>
      </c>
      <c r="K627">
        <f t="shared" si="46"/>
        <v>2</v>
      </c>
      <c r="L627">
        <v>100</v>
      </c>
      <c r="M627" t="str">
        <f t="shared" si="47"/>
        <v>100</v>
      </c>
      <c r="N627">
        <v>0</v>
      </c>
      <c r="O627" s="3" t="str">
        <f t="shared" si="48"/>
        <v>Not Specified</v>
      </c>
      <c r="P627">
        <v>0</v>
      </c>
      <c r="Q627" t="str" cm="1">
        <f t="array" ref="Q627">_xlfn.IFS(ISBLANK(P627),"Not Specified",OR(P627="N",P627=FALSE,P627="no",P627=0),"no",TRUE,"yes")</f>
        <v>no</v>
      </c>
      <c r="R627">
        <v>86</v>
      </c>
      <c r="S627">
        <f t="shared" si="49"/>
        <v>86</v>
      </c>
    </row>
    <row r="628" spans="1:19">
      <c r="A628" t="s">
        <v>1341</v>
      </c>
      <c r="B628" t="s">
        <v>1342</v>
      </c>
      <c r="C628" t="s">
        <v>41</v>
      </c>
      <c r="D628" t="str" cm="1">
        <f t="array" ref="D628">_xlfn.IFS(OR(LOWER(C628)="f",LOWER(C628)="female"),"Female",TRUE,"Male")</f>
        <v>Female</v>
      </c>
      <c r="E628">
        <v>46</v>
      </c>
      <c r="F628">
        <f t="shared" si="45"/>
        <v>46</v>
      </c>
      <c r="G628" t="s">
        <v>22</v>
      </c>
      <c r="H628" t="s">
        <v>23</v>
      </c>
      <c r="I628" t="s">
        <v>30</v>
      </c>
      <c r="K628" t="str">
        <f t="shared" si="46"/>
        <v>Not Specified</v>
      </c>
      <c r="L628" t="s">
        <v>236</v>
      </c>
      <c r="M628" t="str">
        <f t="shared" si="47"/>
        <v>100</v>
      </c>
      <c r="N628">
        <v>4.4</v>
      </c>
      <c r="O628" s="3">
        <f t="shared" si="48"/>
        <v>4.4</v>
      </c>
      <c r="P628">
        <v>1</v>
      </c>
      <c r="Q628" t="str" cm="1">
        <f t="array" ref="Q628">_xlfn.IFS(ISBLANK(P628),"Not Specified",OR(P628="N",P628=FALSE,P628="no",P628=0),"no",TRUE,"yes")</f>
        <v>yes</v>
      </c>
      <c r="R628">
        <v>97</v>
      </c>
      <c r="S628">
        <f t="shared" si="49"/>
        <v>97</v>
      </c>
    </row>
    <row r="629" spans="1:19">
      <c r="A629" t="s">
        <v>1343</v>
      </c>
      <c r="B629" t="s">
        <v>1344</v>
      </c>
      <c r="C629" t="s">
        <v>21</v>
      </c>
      <c r="D629" t="str" cm="1">
        <f t="array" ref="D629">_xlfn.IFS(OR(LOWER(C629)="f",LOWER(C629)="female"),"Female",TRUE,"Male")</f>
        <v>Female</v>
      </c>
      <c r="E629">
        <v>22</v>
      </c>
      <c r="F629">
        <f t="shared" si="45"/>
        <v>22</v>
      </c>
      <c r="G629" t="s">
        <v>142</v>
      </c>
      <c r="H629" t="s">
        <v>143</v>
      </c>
      <c r="I629" t="s">
        <v>24</v>
      </c>
      <c r="J629">
        <v>0</v>
      </c>
      <c r="K629">
        <f t="shared" si="46"/>
        <v>0</v>
      </c>
      <c r="L629" t="s">
        <v>116</v>
      </c>
      <c r="M629" t="str">
        <f t="shared" si="47"/>
        <v> 30</v>
      </c>
      <c r="N629">
        <v>4.9</v>
      </c>
      <c r="O629" s="3">
        <f t="shared" si="48"/>
        <v>4.9</v>
      </c>
      <c r="P629" t="b">
        <v>0</v>
      </c>
      <c r="Q629" t="str" cm="1">
        <f t="array" ref="Q629">_xlfn.IFS(ISBLANK(P629),"Not Specified",OR(P629="N",P629=FALSE,P629="no",P629=0),"no",TRUE,"yes")</f>
        <v>no</v>
      </c>
      <c r="R629" s="5">
        <v>0.73</v>
      </c>
      <c r="S629">
        <f t="shared" si="49"/>
        <v>73</v>
      </c>
    </row>
    <row r="630" spans="1:19">
      <c r="A630" t="s">
        <v>1345</v>
      </c>
      <c r="B630" t="s">
        <v>1346</v>
      </c>
      <c r="C630" t="s">
        <v>46</v>
      </c>
      <c r="D630" t="str" cm="1">
        <f t="array" ref="D630">_xlfn.IFS(OR(LOWER(C630)="f",LOWER(C630)="female"),"Female",TRUE,"Male")</f>
        <v>Female</v>
      </c>
      <c r="E630">
        <v>23</v>
      </c>
      <c r="F630">
        <f t="shared" si="45"/>
        <v>23</v>
      </c>
      <c r="G630" t="s">
        <v>160</v>
      </c>
      <c r="H630" t="s">
        <v>161</v>
      </c>
      <c r="I630" t="s">
        <v>51</v>
      </c>
      <c r="J630">
        <v>0</v>
      </c>
      <c r="K630">
        <f t="shared" si="46"/>
        <v>0</v>
      </c>
      <c r="L630" t="s">
        <v>59</v>
      </c>
      <c r="M630" t="str">
        <f t="shared" si="47"/>
        <v> 75</v>
      </c>
      <c r="N630">
        <v>2.3</v>
      </c>
      <c r="O630" s="3">
        <f t="shared" si="48"/>
        <v>2.3</v>
      </c>
      <c r="Q630" t="str" cm="1">
        <f t="array" ref="Q630">_xlfn.IFS(ISBLANK(P630),"Not Specified",OR(P630="N",P630=FALSE,P630="no",P630=0),"no",TRUE,"yes")</f>
        <v>Not Specified</v>
      </c>
      <c r="R630" s="5">
        <v>0.6</v>
      </c>
      <c r="S630">
        <f t="shared" si="49"/>
        <v>60</v>
      </c>
    </row>
    <row r="631" spans="1:19">
      <c r="A631" t="s">
        <v>1347</v>
      </c>
      <c r="B631" t="s">
        <v>1348</v>
      </c>
      <c r="C631" t="s">
        <v>41</v>
      </c>
      <c r="D631" t="str" cm="1">
        <f t="array" ref="D631">_xlfn.IFS(OR(LOWER(C631)="f",LOWER(C631)="female"),"Female",TRUE,"Male")</f>
        <v>Female</v>
      </c>
      <c r="E631">
        <v>60</v>
      </c>
      <c r="F631">
        <f t="shared" si="45"/>
        <v>60</v>
      </c>
      <c r="G631" t="s">
        <v>69</v>
      </c>
      <c r="H631" t="s">
        <v>70</v>
      </c>
      <c r="I631" t="s">
        <v>42</v>
      </c>
      <c r="J631">
        <v>41</v>
      </c>
      <c r="K631">
        <f t="shared" si="46"/>
        <v>41</v>
      </c>
      <c r="L631" t="s">
        <v>43</v>
      </c>
      <c r="M631" t="str">
        <f t="shared" si="47"/>
        <v>40</v>
      </c>
      <c r="N631">
        <v>4.9</v>
      </c>
      <c r="O631" s="3">
        <f t="shared" si="48"/>
        <v>4.9</v>
      </c>
      <c r="P631">
        <v>1</v>
      </c>
      <c r="Q631" t="str" cm="1">
        <f t="array" ref="Q631">_xlfn.IFS(ISBLANK(P631),"Not Specified",OR(P631="N",P631=FALSE,P631="no",P631=0),"no",TRUE,"yes")</f>
        <v>yes</v>
      </c>
      <c r="R631">
        <v>66</v>
      </c>
      <c r="S631">
        <f t="shared" si="49"/>
        <v>66</v>
      </c>
    </row>
    <row r="632" spans="1:19">
      <c r="A632" t="s">
        <v>1349</v>
      </c>
      <c r="B632" t="s">
        <v>1350</v>
      </c>
      <c r="C632" t="s">
        <v>55</v>
      </c>
      <c r="D632" t="str" cm="1">
        <f t="array" ref="D632">_xlfn.IFS(OR(LOWER(C632)="f",LOWER(C632)="female"),"Female",TRUE,"Male")</f>
        <v>Male</v>
      </c>
      <c r="E632">
        <v>20</v>
      </c>
      <c r="F632">
        <f t="shared" si="45"/>
        <v>20</v>
      </c>
      <c r="G632" t="s">
        <v>135</v>
      </c>
      <c r="H632" t="s">
        <v>29</v>
      </c>
      <c r="I632" t="s">
        <v>96</v>
      </c>
      <c r="K632" t="str">
        <f t="shared" si="46"/>
        <v>Not Specified</v>
      </c>
      <c r="L632" t="s">
        <v>177</v>
      </c>
      <c r="M632" t="str">
        <f t="shared" si="47"/>
        <v>75</v>
      </c>
      <c r="N632">
        <v>4.3</v>
      </c>
      <c r="O632" s="3">
        <f t="shared" si="48"/>
        <v>4.3</v>
      </c>
      <c r="P632">
        <v>0</v>
      </c>
      <c r="Q632" t="str" cm="1">
        <f t="array" ref="Q632">_xlfn.IFS(ISBLANK(P632),"Not Specified",OR(P632="N",P632=FALSE,P632="no",P632=0),"no",TRUE,"yes")</f>
        <v>no</v>
      </c>
      <c r="R632" s="5">
        <v>0.9</v>
      </c>
      <c r="S632">
        <f t="shared" si="49"/>
        <v>90</v>
      </c>
    </row>
    <row r="633" spans="1:19">
      <c r="A633" t="s">
        <v>1351</v>
      </c>
      <c r="B633" t="s">
        <v>1352</v>
      </c>
      <c r="C633" t="s">
        <v>21</v>
      </c>
      <c r="D633" t="str" cm="1">
        <f t="array" ref="D633">_xlfn.IFS(OR(LOWER(C633)="f",LOWER(C633)="female"),"Female",TRUE,"Male")</f>
        <v>Female</v>
      </c>
      <c r="E633">
        <v>41</v>
      </c>
      <c r="F633">
        <f t="shared" si="45"/>
        <v>41</v>
      </c>
      <c r="G633" t="s">
        <v>119</v>
      </c>
      <c r="H633" t="s">
        <v>120</v>
      </c>
      <c r="I633" t="s">
        <v>80</v>
      </c>
      <c r="J633">
        <v>23</v>
      </c>
      <c r="K633">
        <f t="shared" si="46"/>
        <v>23</v>
      </c>
      <c r="L633" t="s">
        <v>177</v>
      </c>
      <c r="M633" t="str">
        <f t="shared" si="47"/>
        <v>75</v>
      </c>
      <c r="N633">
        <v>1.4</v>
      </c>
      <c r="O633" s="3">
        <f t="shared" si="48"/>
        <v>1.4</v>
      </c>
      <c r="P633">
        <v>0</v>
      </c>
      <c r="Q633" t="str" cm="1">
        <f t="array" ref="Q633">_xlfn.IFS(ISBLANK(P633),"Not Specified",OR(P633="N",P633=FALSE,P633="no",P633=0),"no",TRUE,"yes")</f>
        <v>no</v>
      </c>
      <c r="S633" t="str">
        <f t="shared" si="49"/>
        <v>Not Specified</v>
      </c>
    </row>
    <row r="634" spans="1:19">
      <c r="A634" t="s">
        <v>1353</v>
      </c>
      <c r="B634" t="s">
        <v>1354</v>
      </c>
      <c r="C634" t="s">
        <v>55</v>
      </c>
      <c r="D634" t="str" cm="1">
        <f t="array" ref="D634">_xlfn.IFS(OR(LOWER(C634)="f",LOWER(C634)="female"),"Female",TRUE,"Male")</f>
        <v>Male</v>
      </c>
      <c r="E634">
        <v>24</v>
      </c>
      <c r="F634">
        <f t="shared" si="45"/>
        <v>24</v>
      </c>
      <c r="G634" t="s">
        <v>142</v>
      </c>
      <c r="H634" t="s">
        <v>143</v>
      </c>
      <c r="I634" t="s">
        <v>30</v>
      </c>
      <c r="J634">
        <v>0</v>
      </c>
      <c r="K634">
        <f t="shared" si="46"/>
        <v>0</v>
      </c>
      <c r="L634">
        <v>100</v>
      </c>
      <c r="M634" t="str">
        <f t="shared" si="47"/>
        <v>100</v>
      </c>
      <c r="O634" s="3" t="str">
        <f t="shared" si="48"/>
        <v>Not Specified</v>
      </c>
      <c r="P634" t="s">
        <v>166</v>
      </c>
      <c r="Q634" t="str" cm="1">
        <f t="array" ref="Q634">_xlfn.IFS(ISBLANK(P634),"Not Specified",OR(P634="N",P634=FALSE,P634="no",P634=0),"no",TRUE,"yes")</f>
        <v>no</v>
      </c>
      <c r="S634" t="str">
        <f t="shared" si="49"/>
        <v>Not Specified</v>
      </c>
    </row>
    <row r="635" spans="1:19">
      <c r="A635" t="s">
        <v>1355</v>
      </c>
      <c r="B635" t="s">
        <v>1356</v>
      </c>
      <c r="C635" t="s">
        <v>55</v>
      </c>
      <c r="D635" t="str" cm="1">
        <f t="array" ref="D635">_xlfn.IFS(OR(LOWER(C635)="f",LOWER(C635)="female"),"Female",TRUE,"Male")</f>
        <v>Male</v>
      </c>
      <c r="E635">
        <v>44</v>
      </c>
      <c r="F635">
        <f t="shared" si="45"/>
        <v>44</v>
      </c>
      <c r="G635" t="s">
        <v>49</v>
      </c>
      <c r="H635" t="s">
        <v>50</v>
      </c>
      <c r="I635" t="s">
        <v>121</v>
      </c>
      <c r="J635">
        <v>4</v>
      </c>
      <c r="K635">
        <f t="shared" si="46"/>
        <v>4</v>
      </c>
      <c r="M635" t="str">
        <f t="shared" si="47"/>
        <v>Not Specified</v>
      </c>
      <c r="N635">
        <v>1.3</v>
      </c>
      <c r="O635" s="3">
        <f t="shared" si="48"/>
        <v>1.3</v>
      </c>
      <c r="P635" t="s">
        <v>75</v>
      </c>
      <c r="Q635" t="str" cm="1">
        <f t="array" ref="Q635">_xlfn.IFS(ISBLANK(P635),"Not Specified",OR(P635="N",P635=FALSE,P635="no",P635=0),"no",TRUE,"yes")</f>
        <v>yes</v>
      </c>
      <c r="R635">
        <v>77</v>
      </c>
      <c r="S635">
        <f t="shared" si="49"/>
        <v>77</v>
      </c>
    </row>
    <row r="636" spans="1:19">
      <c r="A636" t="s">
        <v>1357</v>
      </c>
      <c r="B636" t="s">
        <v>1358</v>
      </c>
      <c r="C636" t="s">
        <v>68</v>
      </c>
      <c r="D636" t="str" cm="1">
        <f t="array" ref="D636">_xlfn.IFS(OR(LOWER(C636)="f",LOWER(C636)="female"),"Female",TRUE,"Male")</f>
        <v>Male</v>
      </c>
      <c r="E636">
        <v>52</v>
      </c>
      <c r="F636">
        <f t="shared" si="45"/>
        <v>52</v>
      </c>
      <c r="G636" t="s">
        <v>182</v>
      </c>
      <c r="H636" t="s">
        <v>183</v>
      </c>
      <c r="I636" t="s">
        <v>80</v>
      </c>
      <c r="J636">
        <v>4</v>
      </c>
      <c r="K636">
        <f t="shared" si="46"/>
        <v>4</v>
      </c>
      <c r="L636">
        <v>75</v>
      </c>
      <c r="M636" t="str">
        <f t="shared" si="47"/>
        <v>75</v>
      </c>
      <c r="N636">
        <v>2.3</v>
      </c>
      <c r="O636" s="3">
        <f t="shared" si="48"/>
        <v>2.3</v>
      </c>
      <c r="P636">
        <v>1</v>
      </c>
      <c r="Q636" t="str" cm="1">
        <f t="array" ref="Q636">_xlfn.IFS(ISBLANK(P636),"Not Specified",OR(P636="N",P636=FALSE,P636="no",P636=0),"no",TRUE,"yes")</f>
        <v>yes</v>
      </c>
      <c r="R636" s="5">
        <v>0.79</v>
      </c>
      <c r="S636">
        <f t="shared" si="49"/>
        <v>79</v>
      </c>
    </row>
    <row r="637" spans="1:19">
      <c r="A637" t="s">
        <v>1359</v>
      </c>
      <c r="B637" t="s">
        <v>1360</v>
      </c>
      <c r="C637" t="s">
        <v>99</v>
      </c>
      <c r="D637" t="str" cm="1">
        <f t="array" ref="D637">_xlfn.IFS(OR(LOWER(C637)="f",LOWER(C637)="female"),"Female",TRUE,"Male")</f>
        <v>Male</v>
      </c>
      <c r="E637">
        <v>35</v>
      </c>
      <c r="F637">
        <f t="shared" si="45"/>
        <v>35</v>
      </c>
      <c r="G637" t="s">
        <v>197</v>
      </c>
      <c r="H637" t="s">
        <v>79</v>
      </c>
      <c r="I637" t="s">
        <v>121</v>
      </c>
      <c r="J637">
        <v>13</v>
      </c>
      <c r="K637">
        <f t="shared" si="46"/>
        <v>13</v>
      </c>
      <c r="L637">
        <v>40</v>
      </c>
      <c r="M637" t="str">
        <f t="shared" si="47"/>
        <v>40</v>
      </c>
      <c r="N637">
        <v>3.6</v>
      </c>
      <c r="O637" s="3">
        <f t="shared" si="48"/>
        <v>3.6</v>
      </c>
      <c r="P637">
        <v>0</v>
      </c>
      <c r="Q637" t="str" cm="1">
        <f t="array" ref="Q637">_xlfn.IFS(ISBLANK(P637),"Not Specified",OR(P637="N",P637=FALSE,P637="no",P637=0),"no",TRUE,"yes")</f>
        <v>no</v>
      </c>
      <c r="R637" s="5">
        <v>0.83</v>
      </c>
      <c r="S637">
        <f t="shared" si="49"/>
        <v>83</v>
      </c>
    </row>
    <row r="638" spans="1:19">
      <c r="A638" t="s">
        <v>1361</v>
      </c>
      <c r="B638" t="s">
        <v>1362</v>
      </c>
      <c r="C638" t="s">
        <v>84</v>
      </c>
      <c r="D638" t="str" cm="1">
        <f t="array" ref="D638">_xlfn.IFS(OR(LOWER(C638)="f",LOWER(C638)="female"),"Female",TRUE,"Male")</f>
        <v>Female</v>
      </c>
      <c r="E638">
        <v>24</v>
      </c>
      <c r="F638">
        <f t="shared" si="45"/>
        <v>24</v>
      </c>
      <c r="G638" t="s">
        <v>49</v>
      </c>
      <c r="H638" t="s">
        <v>50</v>
      </c>
      <c r="I638" t="s">
        <v>96</v>
      </c>
      <c r="J638">
        <v>2</v>
      </c>
      <c r="K638">
        <f t="shared" si="46"/>
        <v>2</v>
      </c>
      <c r="L638" t="s">
        <v>71</v>
      </c>
      <c r="M638" t="str">
        <f t="shared" si="47"/>
        <v>50</v>
      </c>
      <c r="O638" s="3" t="str">
        <f t="shared" si="48"/>
        <v>Not Specified</v>
      </c>
      <c r="P638" t="s">
        <v>38</v>
      </c>
      <c r="Q638" t="str" cm="1">
        <f t="array" ref="Q638">_xlfn.IFS(ISBLANK(P638),"Not Specified",OR(P638="N",P638=FALSE,P638="no",P638=0),"no",TRUE,"yes")</f>
        <v>no</v>
      </c>
      <c r="R638" s="5">
        <v>0.64</v>
      </c>
      <c r="S638">
        <f t="shared" si="49"/>
        <v>64</v>
      </c>
    </row>
    <row r="639" spans="1:19">
      <c r="A639" t="s">
        <v>1363</v>
      </c>
      <c r="B639" t="s">
        <v>1364</v>
      </c>
      <c r="C639" t="s">
        <v>27</v>
      </c>
      <c r="D639" t="str" cm="1">
        <f t="array" ref="D639">_xlfn.IFS(OR(LOWER(C639)="f",LOWER(C639)="female"),"Female",TRUE,"Male")</f>
        <v>Female</v>
      </c>
      <c r="E639">
        <v>46</v>
      </c>
      <c r="F639">
        <f t="shared" si="45"/>
        <v>46</v>
      </c>
      <c r="G639" t="s">
        <v>28</v>
      </c>
      <c r="H639" t="s">
        <v>29</v>
      </c>
      <c r="I639" t="s">
        <v>85</v>
      </c>
      <c r="J639">
        <v>25</v>
      </c>
      <c r="K639">
        <f t="shared" si="46"/>
        <v>25</v>
      </c>
      <c r="L639" t="s">
        <v>236</v>
      </c>
      <c r="M639" t="str">
        <f t="shared" si="47"/>
        <v>100</v>
      </c>
      <c r="N639">
        <v>1.3</v>
      </c>
      <c r="O639" s="3">
        <f t="shared" si="48"/>
        <v>1.3</v>
      </c>
      <c r="P639" t="s">
        <v>166</v>
      </c>
      <c r="Q639" t="str" cm="1">
        <f t="array" ref="Q639">_xlfn.IFS(ISBLANK(P639),"Not Specified",OR(P639="N",P639=FALSE,P639="no",P639=0),"no",TRUE,"yes")</f>
        <v>no</v>
      </c>
      <c r="R639" s="5">
        <v>0.8</v>
      </c>
      <c r="S639">
        <f t="shared" si="49"/>
        <v>80</v>
      </c>
    </row>
    <row r="640" spans="1:19">
      <c r="A640" t="s">
        <v>1365</v>
      </c>
      <c r="B640" t="s">
        <v>1366</v>
      </c>
      <c r="C640" t="s">
        <v>99</v>
      </c>
      <c r="D640" t="str" cm="1">
        <f t="array" ref="D640">_xlfn.IFS(OR(LOWER(C640)="f",LOWER(C640)="female"),"Female",TRUE,"Male")</f>
        <v>Male</v>
      </c>
      <c r="E640">
        <v>57</v>
      </c>
      <c r="F640">
        <f t="shared" si="45"/>
        <v>57</v>
      </c>
      <c r="G640" t="s">
        <v>186</v>
      </c>
      <c r="H640" t="s">
        <v>79</v>
      </c>
      <c r="I640" t="s">
        <v>30</v>
      </c>
      <c r="J640">
        <v>18</v>
      </c>
      <c r="K640">
        <f t="shared" si="46"/>
        <v>18</v>
      </c>
      <c r="L640" t="s">
        <v>116</v>
      </c>
      <c r="M640" t="str">
        <f t="shared" si="47"/>
        <v> 30</v>
      </c>
      <c r="N640">
        <v>1.1</v>
      </c>
      <c r="O640" s="3">
        <f t="shared" si="48"/>
        <v>1.1</v>
      </c>
      <c r="P640" t="b">
        <v>0</v>
      </c>
      <c r="Q640" t="str" cm="1">
        <f t="array" ref="Q640">_xlfn.IFS(ISBLANK(P640),"Not Specified",OR(P640="N",P640=FALSE,P640="no",P640=0),"no",TRUE,"yes")</f>
        <v>no</v>
      </c>
      <c r="R640" s="5">
        <v>0.9</v>
      </c>
      <c r="S640">
        <f t="shared" si="49"/>
        <v>90</v>
      </c>
    </row>
    <row r="641" spans="1:19">
      <c r="A641" t="s">
        <v>1367</v>
      </c>
      <c r="B641" t="s">
        <v>1368</v>
      </c>
      <c r="C641" t="s">
        <v>41</v>
      </c>
      <c r="D641" t="str" cm="1">
        <f t="array" ref="D641">_xlfn.IFS(OR(LOWER(C641)="f",LOWER(C641)="female"),"Female",TRUE,"Male")</f>
        <v>Female</v>
      </c>
      <c r="E641">
        <v>49</v>
      </c>
      <c r="F641">
        <f t="shared" si="45"/>
        <v>49</v>
      </c>
      <c r="G641" t="s">
        <v>186</v>
      </c>
      <c r="H641" t="s">
        <v>79</v>
      </c>
      <c r="I641" t="s">
        <v>42</v>
      </c>
      <c r="J641">
        <v>24</v>
      </c>
      <c r="K641">
        <f t="shared" si="46"/>
        <v>24</v>
      </c>
      <c r="L641" t="s">
        <v>71</v>
      </c>
      <c r="M641" t="str">
        <f t="shared" si="47"/>
        <v>50</v>
      </c>
      <c r="N641">
        <v>0</v>
      </c>
      <c r="O641" s="3" t="str">
        <f t="shared" si="48"/>
        <v>Not Specified</v>
      </c>
      <c r="P641">
        <v>0</v>
      </c>
      <c r="Q641" t="str" cm="1">
        <f t="array" ref="Q641">_xlfn.IFS(ISBLANK(P641),"Not Specified",OR(P641="N",P641=FALSE,P641="no",P641=0),"no",TRUE,"yes")</f>
        <v>no</v>
      </c>
      <c r="R641" s="5">
        <v>0.94</v>
      </c>
      <c r="S641">
        <f t="shared" si="49"/>
        <v>94</v>
      </c>
    </row>
    <row r="642" spans="1:19">
      <c r="A642" t="s">
        <v>1369</v>
      </c>
      <c r="B642" t="s">
        <v>1370</v>
      </c>
      <c r="C642" t="s">
        <v>68</v>
      </c>
      <c r="D642" t="str" cm="1">
        <f t="array" ref="D642">_xlfn.IFS(OR(LOWER(C642)="f",LOWER(C642)="female"),"Female",TRUE,"Male")</f>
        <v>Male</v>
      </c>
      <c r="E642">
        <v>41</v>
      </c>
      <c r="F642">
        <f t="shared" si="45"/>
        <v>41</v>
      </c>
      <c r="G642" t="s">
        <v>92</v>
      </c>
      <c r="H642" t="s">
        <v>93</v>
      </c>
      <c r="I642" t="s">
        <v>51</v>
      </c>
      <c r="J642">
        <v>7</v>
      </c>
      <c r="K642">
        <f t="shared" si="46"/>
        <v>7</v>
      </c>
      <c r="L642">
        <v>40</v>
      </c>
      <c r="M642" t="str">
        <f t="shared" si="47"/>
        <v>40</v>
      </c>
      <c r="N642">
        <v>1.8</v>
      </c>
      <c r="O642" s="3">
        <f t="shared" si="48"/>
        <v>1.8</v>
      </c>
      <c r="P642" t="b">
        <v>0</v>
      </c>
      <c r="Q642" t="str" cm="1">
        <f t="array" ref="Q642">_xlfn.IFS(ISBLANK(P642),"Not Specified",OR(P642="N",P642=FALSE,P642="no",P642=0),"no",TRUE,"yes")</f>
        <v>no</v>
      </c>
      <c r="R642" s="5">
        <v>0.7</v>
      </c>
      <c r="S642">
        <f t="shared" si="49"/>
        <v>70</v>
      </c>
    </row>
    <row r="643" spans="1:19">
      <c r="A643" t="s">
        <v>1371</v>
      </c>
      <c r="B643" t="s">
        <v>1372</v>
      </c>
      <c r="C643" t="s">
        <v>34</v>
      </c>
      <c r="D643" t="str" cm="1">
        <f t="array" ref="D643">_xlfn.IFS(OR(LOWER(C643)="f",LOWER(C643)="female"),"Female",TRUE,"Male")</f>
        <v>Male</v>
      </c>
      <c r="E643">
        <v>22</v>
      </c>
      <c r="F643">
        <f t="shared" ref="F643:F706" si="50">IF(ISNUMBER(E643),E643,"Not Specified")</f>
        <v>22</v>
      </c>
      <c r="G643" t="s">
        <v>186</v>
      </c>
      <c r="H643" t="s">
        <v>79</v>
      </c>
      <c r="I643" t="s">
        <v>121</v>
      </c>
      <c r="J643">
        <v>1</v>
      </c>
      <c r="K643">
        <f t="shared" ref="K643:K706" si="51">IF(ISNUMBER(J643),J643,"Not Specified")</f>
        <v>1</v>
      </c>
      <c r="L643" t="s">
        <v>321</v>
      </c>
      <c r="M643" t="str">
        <f t="shared" ref="M643:M706" si="52">IF(SUBSTITUTE(SUBSTITUTE(L643,"USD",""),"$","")="","Not Specified",SUBSTITUTE(SUBSTITUTE(L643,"USD",""),"$",""))</f>
        <v> 20</v>
      </c>
      <c r="O643" s="3" t="str">
        <f t="shared" ref="O643:O706" si="53">IF(OR(N643="",N643=0),"Not Specified",N643)</f>
        <v>Not Specified</v>
      </c>
      <c r="P643" t="s">
        <v>75</v>
      </c>
      <c r="Q643" t="str" cm="1">
        <f t="array" ref="Q643">_xlfn.IFS(ISBLANK(P643),"Not Specified",OR(P643="N",P643=FALSE,P643="no",P643=0),"no",TRUE,"yes")</f>
        <v>yes</v>
      </c>
      <c r="R643" s="5">
        <v>0.75</v>
      </c>
      <c r="S643">
        <f t="shared" ref="S643:S706" si="54">IF(ISBLANK(R643),"Not Specified",IF(R643&lt;=1,R643*100,R643))</f>
        <v>75</v>
      </c>
    </row>
    <row r="644" spans="1:19">
      <c r="A644" t="s">
        <v>1373</v>
      </c>
      <c r="B644" t="s">
        <v>1374</v>
      </c>
      <c r="C644" t="s">
        <v>34</v>
      </c>
      <c r="D644" t="str" cm="1">
        <f t="array" ref="D644">_xlfn.IFS(OR(LOWER(C644)="f",LOWER(C644)="female"),"Female",TRUE,"Male")</f>
        <v>Male</v>
      </c>
      <c r="E644">
        <v>50</v>
      </c>
      <c r="F644">
        <f t="shared" si="50"/>
        <v>50</v>
      </c>
      <c r="G644" t="s">
        <v>28</v>
      </c>
      <c r="H644" t="s">
        <v>29</v>
      </c>
      <c r="I644" t="s">
        <v>24</v>
      </c>
      <c r="J644">
        <v>17</v>
      </c>
      <c r="K644">
        <f t="shared" si="51"/>
        <v>17</v>
      </c>
      <c r="L644">
        <v>75</v>
      </c>
      <c r="M644" t="str">
        <f t="shared" si="52"/>
        <v>75</v>
      </c>
      <c r="N644">
        <v>3.3</v>
      </c>
      <c r="O644" s="3">
        <f t="shared" si="53"/>
        <v>3.3</v>
      </c>
      <c r="P644">
        <v>1</v>
      </c>
      <c r="Q644" t="str" cm="1">
        <f t="array" ref="Q644">_xlfn.IFS(ISBLANK(P644),"Not Specified",OR(P644="N",P644=FALSE,P644="no",P644=0),"no",TRUE,"yes")</f>
        <v>yes</v>
      </c>
      <c r="R644" s="5">
        <v>0.69</v>
      </c>
      <c r="S644">
        <f t="shared" si="54"/>
        <v>69</v>
      </c>
    </row>
    <row r="645" spans="1:19">
      <c r="A645" t="s">
        <v>1375</v>
      </c>
      <c r="B645" t="s">
        <v>1376</v>
      </c>
      <c r="C645" t="s">
        <v>34</v>
      </c>
      <c r="D645" t="str" cm="1">
        <f t="array" ref="D645">_xlfn.IFS(OR(LOWER(C645)="f",LOWER(C645)="female"),"Female",TRUE,"Male")</f>
        <v>Male</v>
      </c>
      <c r="E645">
        <v>57</v>
      </c>
      <c r="F645">
        <f t="shared" si="50"/>
        <v>57</v>
      </c>
      <c r="G645" t="s">
        <v>35</v>
      </c>
      <c r="H645" t="s">
        <v>36</v>
      </c>
      <c r="I645" t="s">
        <v>37</v>
      </c>
      <c r="J645">
        <v>4</v>
      </c>
      <c r="K645">
        <f t="shared" si="51"/>
        <v>4</v>
      </c>
      <c r="L645" t="s">
        <v>116</v>
      </c>
      <c r="M645" t="str">
        <f t="shared" si="52"/>
        <v> 30</v>
      </c>
      <c r="N645">
        <v>4.2</v>
      </c>
      <c r="O645" s="3">
        <f t="shared" si="53"/>
        <v>4.2</v>
      </c>
      <c r="P645">
        <v>0</v>
      </c>
      <c r="Q645" t="str" cm="1">
        <f t="array" ref="Q645">_xlfn.IFS(ISBLANK(P645),"Not Specified",OR(P645="N",P645=FALSE,P645="no",P645=0),"no",TRUE,"yes")</f>
        <v>no</v>
      </c>
      <c r="S645" t="str">
        <f t="shared" si="54"/>
        <v>Not Specified</v>
      </c>
    </row>
    <row r="646" spans="1:19">
      <c r="A646" t="s">
        <v>1377</v>
      </c>
      <c r="B646" t="s">
        <v>1378</v>
      </c>
      <c r="C646" t="s">
        <v>27</v>
      </c>
      <c r="D646" t="str" cm="1">
        <f t="array" ref="D646">_xlfn.IFS(OR(LOWER(C646)="f",LOWER(C646)="female"),"Female",TRUE,"Male")</f>
        <v>Female</v>
      </c>
      <c r="E646">
        <v>47</v>
      </c>
      <c r="F646">
        <f t="shared" si="50"/>
        <v>47</v>
      </c>
      <c r="G646" t="s">
        <v>186</v>
      </c>
      <c r="H646" t="s">
        <v>79</v>
      </c>
      <c r="I646" t="s">
        <v>51</v>
      </c>
      <c r="J646">
        <v>29</v>
      </c>
      <c r="K646">
        <f t="shared" si="51"/>
        <v>29</v>
      </c>
      <c r="L646" t="s">
        <v>71</v>
      </c>
      <c r="M646" t="str">
        <f t="shared" si="52"/>
        <v>50</v>
      </c>
      <c r="O646" s="3" t="str">
        <f t="shared" si="53"/>
        <v>Not Specified</v>
      </c>
      <c r="P646">
        <v>1</v>
      </c>
      <c r="Q646" t="str" cm="1">
        <f t="array" ref="Q646">_xlfn.IFS(ISBLANK(P646),"Not Specified",OR(P646="N",P646=FALSE,P646="no",P646=0),"no",TRUE,"yes")</f>
        <v>yes</v>
      </c>
      <c r="R646" s="5">
        <v>0.79</v>
      </c>
      <c r="S646">
        <f t="shared" si="54"/>
        <v>79</v>
      </c>
    </row>
    <row r="647" spans="1:19">
      <c r="A647" t="s">
        <v>1379</v>
      </c>
      <c r="B647" t="s">
        <v>1380</v>
      </c>
      <c r="C647" t="s">
        <v>99</v>
      </c>
      <c r="D647" t="str" cm="1">
        <f t="array" ref="D647">_xlfn.IFS(OR(LOWER(C647)="f",LOWER(C647)="female"),"Female",TRUE,"Male")</f>
        <v>Male</v>
      </c>
      <c r="E647">
        <v>24</v>
      </c>
      <c r="F647">
        <f t="shared" si="50"/>
        <v>24</v>
      </c>
      <c r="G647" t="s">
        <v>160</v>
      </c>
      <c r="H647" t="s">
        <v>161</v>
      </c>
      <c r="I647" t="s">
        <v>58</v>
      </c>
      <c r="J647">
        <v>2</v>
      </c>
      <c r="K647">
        <f t="shared" si="51"/>
        <v>2</v>
      </c>
      <c r="L647" t="s">
        <v>236</v>
      </c>
      <c r="M647" t="str">
        <f t="shared" si="52"/>
        <v>100</v>
      </c>
      <c r="N647">
        <v>3.8</v>
      </c>
      <c r="O647" s="3">
        <f t="shared" si="53"/>
        <v>3.8</v>
      </c>
      <c r="P647">
        <v>1</v>
      </c>
      <c r="Q647" t="str" cm="1">
        <f t="array" ref="Q647">_xlfn.IFS(ISBLANK(P647),"Not Specified",OR(P647="N",P647=FALSE,P647="no",P647=0),"no",TRUE,"yes")</f>
        <v>yes</v>
      </c>
      <c r="R647" s="5">
        <v>0.71</v>
      </c>
      <c r="S647">
        <f t="shared" si="54"/>
        <v>71</v>
      </c>
    </row>
    <row r="648" spans="1:19">
      <c r="A648" t="s">
        <v>1381</v>
      </c>
      <c r="B648" t="s">
        <v>1382</v>
      </c>
      <c r="C648" t="s">
        <v>34</v>
      </c>
      <c r="D648" t="str" cm="1">
        <f t="array" ref="D648">_xlfn.IFS(OR(LOWER(C648)="f",LOWER(C648)="female"),"Female",TRUE,"Male")</f>
        <v>Male</v>
      </c>
      <c r="F648" t="str">
        <f t="shared" si="50"/>
        <v>Not Specified</v>
      </c>
      <c r="G648" t="s">
        <v>100</v>
      </c>
      <c r="H648" t="s">
        <v>101</v>
      </c>
      <c r="I648" t="s">
        <v>85</v>
      </c>
      <c r="J648">
        <v>9</v>
      </c>
      <c r="K648">
        <f t="shared" si="51"/>
        <v>9</v>
      </c>
      <c r="L648">
        <v>100</v>
      </c>
      <c r="M648" t="str">
        <f t="shared" si="52"/>
        <v>100</v>
      </c>
      <c r="N648">
        <v>4.8</v>
      </c>
      <c r="O648" s="3">
        <f t="shared" si="53"/>
        <v>4.8</v>
      </c>
      <c r="P648" t="s">
        <v>81</v>
      </c>
      <c r="Q648" t="str" cm="1">
        <f t="array" ref="Q648">_xlfn.IFS(ISBLANK(P648),"Not Specified",OR(P648="N",P648=FALSE,P648="no",P648=0),"no",TRUE,"yes")</f>
        <v>yes</v>
      </c>
      <c r="R648" s="5">
        <v>0.72</v>
      </c>
      <c r="S648">
        <f t="shared" si="54"/>
        <v>72</v>
      </c>
    </row>
    <row r="649" spans="1:19">
      <c r="A649" t="s">
        <v>1383</v>
      </c>
      <c r="B649" t="s">
        <v>1384</v>
      </c>
      <c r="C649" t="s">
        <v>27</v>
      </c>
      <c r="D649" t="str" cm="1">
        <f t="array" ref="D649">_xlfn.IFS(OR(LOWER(C649)="f",LOWER(C649)="female"),"Female",TRUE,"Male")</f>
        <v>Female</v>
      </c>
      <c r="E649">
        <v>50</v>
      </c>
      <c r="F649">
        <f t="shared" si="50"/>
        <v>50</v>
      </c>
      <c r="G649" t="s">
        <v>35</v>
      </c>
      <c r="H649" t="s">
        <v>36</v>
      </c>
      <c r="I649" t="s">
        <v>96</v>
      </c>
      <c r="J649">
        <v>10</v>
      </c>
      <c r="K649">
        <f t="shared" si="51"/>
        <v>10</v>
      </c>
      <c r="L649" t="s">
        <v>236</v>
      </c>
      <c r="M649" t="str">
        <f t="shared" si="52"/>
        <v>100</v>
      </c>
      <c r="N649">
        <v>4.3</v>
      </c>
      <c r="O649" s="3">
        <f t="shared" si="53"/>
        <v>4.3</v>
      </c>
      <c r="P649" t="s">
        <v>38</v>
      </c>
      <c r="Q649" t="str" cm="1">
        <f t="array" ref="Q649">_xlfn.IFS(ISBLANK(P649),"Not Specified",OR(P649="N",P649=FALSE,P649="no",P649=0),"no",TRUE,"yes")</f>
        <v>no</v>
      </c>
      <c r="R649" s="5">
        <v>0.93</v>
      </c>
      <c r="S649">
        <f t="shared" si="54"/>
        <v>93</v>
      </c>
    </row>
    <row r="650" spans="1:19">
      <c r="A650" t="s">
        <v>1385</v>
      </c>
      <c r="B650" t="s">
        <v>1386</v>
      </c>
      <c r="C650" t="s">
        <v>99</v>
      </c>
      <c r="D650" t="str" cm="1">
        <f t="array" ref="D650">_xlfn.IFS(OR(LOWER(C650)="f",LOWER(C650)="female"),"Female",TRUE,"Male")</f>
        <v>Male</v>
      </c>
      <c r="E650">
        <v>46</v>
      </c>
      <c r="F650">
        <f t="shared" si="50"/>
        <v>46</v>
      </c>
      <c r="G650" t="s">
        <v>114</v>
      </c>
      <c r="H650" t="s">
        <v>115</v>
      </c>
      <c r="I650" t="s">
        <v>121</v>
      </c>
      <c r="J650">
        <v>20</v>
      </c>
      <c r="K650">
        <f t="shared" si="51"/>
        <v>20</v>
      </c>
      <c r="M650" t="str">
        <f t="shared" si="52"/>
        <v>Not Specified</v>
      </c>
      <c r="N650">
        <v>4.8</v>
      </c>
      <c r="O650" s="3">
        <f t="shared" si="53"/>
        <v>4.8</v>
      </c>
      <c r="P650">
        <v>1</v>
      </c>
      <c r="Q650" t="str" cm="1">
        <f t="array" ref="Q650">_xlfn.IFS(ISBLANK(P650),"Not Specified",OR(P650="N",P650=FALSE,P650="no",P650=0),"no",TRUE,"yes")</f>
        <v>yes</v>
      </c>
      <c r="R650" s="5">
        <v>0.82</v>
      </c>
      <c r="S650">
        <f t="shared" si="54"/>
        <v>82</v>
      </c>
    </row>
    <row r="651" spans="1:19">
      <c r="A651" t="s">
        <v>1387</v>
      </c>
      <c r="B651" t="s">
        <v>1388</v>
      </c>
      <c r="C651" t="s">
        <v>34</v>
      </c>
      <c r="D651" t="str" cm="1">
        <f t="array" ref="D651">_xlfn.IFS(OR(LOWER(C651)="f",LOWER(C651)="female"),"Female",TRUE,"Male")</f>
        <v>Male</v>
      </c>
      <c r="E651">
        <v>51</v>
      </c>
      <c r="F651">
        <f t="shared" si="50"/>
        <v>51</v>
      </c>
      <c r="G651" t="s">
        <v>28</v>
      </c>
      <c r="H651" t="s">
        <v>29</v>
      </c>
      <c r="I651" t="s">
        <v>85</v>
      </c>
      <c r="J651">
        <v>9</v>
      </c>
      <c r="K651">
        <f t="shared" si="51"/>
        <v>9</v>
      </c>
      <c r="L651" t="s">
        <v>43</v>
      </c>
      <c r="M651" t="str">
        <f t="shared" si="52"/>
        <v>40</v>
      </c>
      <c r="O651" s="3" t="str">
        <f t="shared" si="53"/>
        <v>Not Specified</v>
      </c>
      <c r="P651" t="s">
        <v>38</v>
      </c>
      <c r="Q651" t="str" cm="1">
        <f t="array" ref="Q651">_xlfn.IFS(ISBLANK(P651),"Not Specified",OR(P651="N",P651=FALSE,P651="no",P651=0),"no",TRUE,"yes")</f>
        <v>no</v>
      </c>
      <c r="R651">
        <v>60</v>
      </c>
      <c r="S651">
        <f t="shared" si="54"/>
        <v>60</v>
      </c>
    </row>
    <row r="652" spans="1:19">
      <c r="A652" t="s">
        <v>1389</v>
      </c>
      <c r="B652" t="s">
        <v>1390</v>
      </c>
      <c r="C652" t="s">
        <v>68</v>
      </c>
      <c r="D652" t="str" cm="1">
        <f t="array" ref="D652">_xlfn.IFS(OR(LOWER(C652)="f",LOWER(C652)="female"),"Female",TRUE,"Male")</f>
        <v>Male</v>
      </c>
      <c r="E652">
        <v>51</v>
      </c>
      <c r="F652">
        <f t="shared" si="50"/>
        <v>51</v>
      </c>
      <c r="G652" t="s">
        <v>74</v>
      </c>
      <c r="H652" t="s">
        <v>29</v>
      </c>
      <c r="I652" t="s">
        <v>51</v>
      </c>
      <c r="J652">
        <v>12</v>
      </c>
      <c r="K652">
        <f t="shared" si="51"/>
        <v>12</v>
      </c>
      <c r="L652">
        <v>20</v>
      </c>
      <c r="M652" t="str">
        <f t="shared" si="52"/>
        <v>20</v>
      </c>
      <c r="N652">
        <v>4</v>
      </c>
      <c r="O652" s="3">
        <f t="shared" si="53"/>
        <v>4</v>
      </c>
      <c r="P652">
        <v>0</v>
      </c>
      <c r="Q652" t="str" cm="1">
        <f t="array" ref="Q652">_xlfn.IFS(ISBLANK(P652),"Not Specified",OR(P652="N",P652=FALSE,P652="no",P652=0),"no",TRUE,"yes")</f>
        <v>no</v>
      </c>
      <c r="R652">
        <v>93</v>
      </c>
      <c r="S652">
        <f t="shared" si="54"/>
        <v>93</v>
      </c>
    </row>
    <row r="653" spans="1:19">
      <c r="A653" t="s">
        <v>1391</v>
      </c>
      <c r="B653" t="s">
        <v>1392</v>
      </c>
      <c r="C653" t="s">
        <v>55</v>
      </c>
      <c r="D653" t="str" cm="1">
        <f t="array" ref="D653">_xlfn.IFS(OR(LOWER(C653)="f",LOWER(C653)="female"),"Female",TRUE,"Male")</f>
        <v>Male</v>
      </c>
      <c r="E653">
        <v>27</v>
      </c>
      <c r="F653">
        <f t="shared" si="50"/>
        <v>27</v>
      </c>
      <c r="G653" t="s">
        <v>74</v>
      </c>
      <c r="H653" t="s">
        <v>29</v>
      </c>
      <c r="I653" t="s">
        <v>51</v>
      </c>
      <c r="J653">
        <v>3</v>
      </c>
      <c r="K653">
        <f t="shared" si="51"/>
        <v>3</v>
      </c>
      <c r="L653" t="s">
        <v>105</v>
      </c>
      <c r="M653" t="str">
        <f t="shared" si="52"/>
        <v> 50</v>
      </c>
      <c r="O653" s="3" t="str">
        <f t="shared" si="53"/>
        <v>Not Specified</v>
      </c>
      <c r="P653" t="b">
        <v>0</v>
      </c>
      <c r="Q653" t="str" cm="1">
        <f t="array" ref="Q653">_xlfn.IFS(ISBLANK(P653),"Not Specified",OR(P653="N",P653=FALSE,P653="no",P653=0),"no",TRUE,"yes")</f>
        <v>no</v>
      </c>
      <c r="S653" t="str">
        <f t="shared" si="54"/>
        <v>Not Specified</v>
      </c>
    </row>
    <row r="654" spans="1:19">
      <c r="A654" t="s">
        <v>1393</v>
      </c>
      <c r="B654" t="s">
        <v>1394</v>
      </c>
      <c r="C654" t="s">
        <v>68</v>
      </c>
      <c r="D654" t="str" cm="1">
        <f t="array" ref="D654">_xlfn.IFS(OR(LOWER(C654)="f",LOWER(C654)="female"),"Female",TRUE,"Male")</f>
        <v>Male</v>
      </c>
      <c r="E654">
        <v>42</v>
      </c>
      <c r="F654">
        <f t="shared" si="50"/>
        <v>42</v>
      </c>
      <c r="G654" t="s">
        <v>197</v>
      </c>
      <c r="H654" t="s">
        <v>79</v>
      </c>
      <c r="I654" t="s">
        <v>42</v>
      </c>
      <c r="J654">
        <v>13</v>
      </c>
      <c r="K654">
        <f t="shared" si="51"/>
        <v>13</v>
      </c>
      <c r="L654">
        <v>30</v>
      </c>
      <c r="M654" t="str">
        <f t="shared" si="52"/>
        <v>30</v>
      </c>
      <c r="N654">
        <v>0</v>
      </c>
      <c r="O654" s="3" t="str">
        <f t="shared" si="53"/>
        <v>Not Specified</v>
      </c>
      <c r="P654" t="b">
        <v>0</v>
      </c>
      <c r="Q654" t="str" cm="1">
        <f t="array" ref="Q654">_xlfn.IFS(ISBLANK(P654),"Not Specified",OR(P654="N",P654=FALSE,P654="no",P654=0),"no",TRUE,"yes")</f>
        <v>no</v>
      </c>
      <c r="R654" s="5">
        <v>0.74</v>
      </c>
      <c r="S654">
        <f t="shared" si="54"/>
        <v>74</v>
      </c>
    </row>
    <row r="655" spans="1:19">
      <c r="A655" t="s">
        <v>1395</v>
      </c>
      <c r="B655" t="s">
        <v>1396</v>
      </c>
      <c r="C655" t="s">
        <v>68</v>
      </c>
      <c r="D655" t="str" cm="1">
        <f t="array" ref="D655">_xlfn.IFS(OR(LOWER(C655)="f",LOWER(C655)="female"),"Female",TRUE,"Male")</f>
        <v>Male</v>
      </c>
      <c r="E655">
        <v>25</v>
      </c>
      <c r="F655">
        <f t="shared" si="50"/>
        <v>25</v>
      </c>
      <c r="G655" t="s">
        <v>35</v>
      </c>
      <c r="H655" t="s">
        <v>36</v>
      </c>
      <c r="I655" t="s">
        <v>80</v>
      </c>
      <c r="J655">
        <v>4</v>
      </c>
      <c r="K655">
        <f t="shared" si="51"/>
        <v>4</v>
      </c>
      <c r="L655" t="s">
        <v>43</v>
      </c>
      <c r="M655" t="str">
        <f t="shared" si="52"/>
        <v>40</v>
      </c>
      <c r="N655">
        <v>2.3</v>
      </c>
      <c r="O655" s="3">
        <f t="shared" si="53"/>
        <v>2.3</v>
      </c>
      <c r="P655" t="s">
        <v>75</v>
      </c>
      <c r="Q655" t="str" cm="1">
        <f t="array" ref="Q655">_xlfn.IFS(ISBLANK(P655),"Not Specified",OR(P655="N",P655=FALSE,P655="no",P655=0),"no",TRUE,"yes")</f>
        <v>yes</v>
      </c>
      <c r="R655">
        <v>73</v>
      </c>
      <c r="S655">
        <f t="shared" si="54"/>
        <v>73</v>
      </c>
    </row>
    <row r="656" spans="1:19">
      <c r="A656" t="s">
        <v>1397</v>
      </c>
      <c r="B656" t="s">
        <v>1398</v>
      </c>
      <c r="C656" t="s">
        <v>84</v>
      </c>
      <c r="D656" t="str" cm="1">
        <f t="array" ref="D656">_xlfn.IFS(OR(LOWER(C656)="f",LOWER(C656)="female"),"Female",TRUE,"Male")</f>
        <v>Female</v>
      </c>
      <c r="E656">
        <v>32</v>
      </c>
      <c r="F656">
        <f t="shared" si="50"/>
        <v>32</v>
      </c>
      <c r="G656" t="s">
        <v>35</v>
      </c>
      <c r="H656" t="s">
        <v>36</v>
      </c>
      <c r="I656" t="s">
        <v>58</v>
      </c>
      <c r="J656">
        <v>9</v>
      </c>
      <c r="K656">
        <f t="shared" si="51"/>
        <v>9</v>
      </c>
      <c r="L656">
        <v>75</v>
      </c>
      <c r="M656" t="str">
        <f t="shared" si="52"/>
        <v>75</v>
      </c>
      <c r="O656" s="3" t="str">
        <f t="shared" si="53"/>
        <v>Not Specified</v>
      </c>
      <c r="P656" t="s">
        <v>38</v>
      </c>
      <c r="Q656" t="str" cm="1">
        <f t="array" ref="Q656">_xlfn.IFS(ISBLANK(P656),"Not Specified",OR(P656="N",P656=FALSE,P656="no",P656=0),"no",TRUE,"yes")</f>
        <v>no</v>
      </c>
      <c r="R656" s="5">
        <v>0.96</v>
      </c>
      <c r="S656">
        <f t="shared" si="54"/>
        <v>96</v>
      </c>
    </row>
    <row r="657" spans="1:19">
      <c r="A657" t="s">
        <v>1399</v>
      </c>
      <c r="B657" t="s">
        <v>1400</v>
      </c>
      <c r="C657" t="s">
        <v>46</v>
      </c>
      <c r="D657" t="str" cm="1">
        <f t="array" ref="D657">_xlfn.IFS(OR(LOWER(C657)="f",LOWER(C657)="female"),"Female",TRUE,"Male")</f>
        <v>Female</v>
      </c>
      <c r="E657">
        <v>59</v>
      </c>
      <c r="F657">
        <f t="shared" si="50"/>
        <v>59</v>
      </c>
      <c r="G657" t="s">
        <v>135</v>
      </c>
      <c r="H657" t="s">
        <v>29</v>
      </c>
      <c r="I657" t="s">
        <v>37</v>
      </c>
      <c r="J657">
        <v>14</v>
      </c>
      <c r="K657">
        <f t="shared" si="51"/>
        <v>14</v>
      </c>
      <c r="L657">
        <v>30</v>
      </c>
      <c r="M657" t="str">
        <f t="shared" si="52"/>
        <v>30</v>
      </c>
      <c r="N657">
        <v>3.8</v>
      </c>
      <c r="O657" s="3">
        <f t="shared" si="53"/>
        <v>3.8</v>
      </c>
      <c r="Q657" t="str" cm="1">
        <f t="array" ref="Q657">_xlfn.IFS(ISBLANK(P657),"Not Specified",OR(P657="N",P657=FALSE,P657="no",P657=0),"no",TRUE,"yes")</f>
        <v>Not Specified</v>
      </c>
      <c r="R657" s="5">
        <v>0.66</v>
      </c>
      <c r="S657">
        <f t="shared" si="54"/>
        <v>66</v>
      </c>
    </row>
    <row r="658" spans="1:19">
      <c r="A658" t="s">
        <v>1401</v>
      </c>
      <c r="B658" t="s">
        <v>1402</v>
      </c>
      <c r="C658" t="s">
        <v>27</v>
      </c>
      <c r="D658" t="str" cm="1">
        <f t="array" ref="D658">_xlfn.IFS(OR(LOWER(C658)="f",LOWER(C658)="female"),"Female",TRUE,"Male")</f>
        <v>Female</v>
      </c>
      <c r="E658">
        <v>59</v>
      </c>
      <c r="F658">
        <f t="shared" si="50"/>
        <v>59</v>
      </c>
      <c r="G658" t="s">
        <v>142</v>
      </c>
      <c r="H658" t="s">
        <v>143</v>
      </c>
      <c r="I658" t="s">
        <v>85</v>
      </c>
      <c r="J658">
        <v>37</v>
      </c>
      <c r="K658">
        <f t="shared" si="51"/>
        <v>37</v>
      </c>
      <c r="L658">
        <v>30</v>
      </c>
      <c r="M658" t="str">
        <f t="shared" si="52"/>
        <v>30</v>
      </c>
      <c r="N658">
        <v>4</v>
      </c>
      <c r="O658" s="3">
        <f t="shared" si="53"/>
        <v>4</v>
      </c>
      <c r="P658" t="b">
        <v>0</v>
      </c>
      <c r="Q658" t="str" cm="1">
        <f t="array" ref="Q658">_xlfn.IFS(ISBLANK(P658),"Not Specified",OR(P658="N",P658=FALSE,P658="no",P658=0),"no",TRUE,"yes")</f>
        <v>no</v>
      </c>
      <c r="R658" s="5">
        <v>0.62</v>
      </c>
      <c r="S658">
        <f t="shared" si="54"/>
        <v>62</v>
      </c>
    </row>
    <row r="659" spans="1:19">
      <c r="A659" t="s">
        <v>1403</v>
      </c>
      <c r="B659" t="s">
        <v>1404</v>
      </c>
      <c r="C659" t="s">
        <v>104</v>
      </c>
      <c r="D659" t="str" cm="1">
        <f t="array" ref="D659">_xlfn.IFS(OR(LOWER(C659)="f",LOWER(C659)="female"),"Female",TRUE,"Male")</f>
        <v>Male</v>
      </c>
      <c r="E659">
        <v>29</v>
      </c>
      <c r="F659">
        <f t="shared" si="50"/>
        <v>29</v>
      </c>
      <c r="G659" t="s">
        <v>35</v>
      </c>
      <c r="H659" t="s">
        <v>36</v>
      </c>
      <c r="I659" t="s">
        <v>37</v>
      </c>
      <c r="J659">
        <v>2</v>
      </c>
      <c r="K659">
        <f t="shared" si="51"/>
        <v>2</v>
      </c>
      <c r="L659" t="s">
        <v>59</v>
      </c>
      <c r="M659" t="str">
        <f t="shared" si="52"/>
        <v> 75</v>
      </c>
      <c r="N659">
        <v>2.2</v>
      </c>
      <c r="O659" s="3">
        <f t="shared" si="53"/>
        <v>2.2</v>
      </c>
      <c r="P659" t="s">
        <v>81</v>
      </c>
      <c r="Q659" t="str" cm="1">
        <f t="array" ref="Q659">_xlfn.IFS(ISBLANK(P659),"Not Specified",OR(P659="N",P659=FALSE,P659="no",P659=0),"no",TRUE,"yes")</f>
        <v>yes</v>
      </c>
      <c r="R659" s="5">
        <v>0.85</v>
      </c>
      <c r="S659">
        <f t="shared" si="54"/>
        <v>85</v>
      </c>
    </row>
    <row r="660" spans="1:19">
      <c r="A660" t="s">
        <v>1405</v>
      </c>
      <c r="B660" t="s">
        <v>1406</v>
      </c>
      <c r="C660" t="s">
        <v>68</v>
      </c>
      <c r="D660" t="str" cm="1">
        <f t="array" ref="D660">_xlfn.IFS(OR(LOWER(C660)="f",LOWER(C660)="female"),"Female",TRUE,"Male")</f>
        <v>Male</v>
      </c>
      <c r="E660">
        <v>58</v>
      </c>
      <c r="F660">
        <f t="shared" si="50"/>
        <v>58</v>
      </c>
      <c r="G660" t="s">
        <v>182</v>
      </c>
      <c r="H660" t="s">
        <v>183</v>
      </c>
      <c r="I660" t="s">
        <v>51</v>
      </c>
      <c r="J660">
        <v>11</v>
      </c>
      <c r="K660">
        <f t="shared" si="51"/>
        <v>11</v>
      </c>
      <c r="L660">
        <v>100</v>
      </c>
      <c r="M660" t="str">
        <f t="shared" si="52"/>
        <v>100</v>
      </c>
      <c r="N660">
        <v>4.3</v>
      </c>
      <c r="O660" s="3">
        <f t="shared" si="53"/>
        <v>4.3</v>
      </c>
      <c r="P660">
        <v>0</v>
      </c>
      <c r="Q660" t="str" cm="1">
        <f t="array" ref="Q660">_xlfn.IFS(ISBLANK(P660),"Not Specified",OR(P660="N",P660=FALSE,P660="no",P660=0),"no",TRUE,"yes")</f>
        <v>no</v>
      </c>
      <c r="R660" s="5">
        <v>0.66</v>
      </c>
      <c r="S660">
        <f t="shared" si="54"/>
        <v>66</v>
      </c>
    </row>
    <row r="661" spans="1:19">
      <c r="A661" t="s">
        <v>1407</v>
      </c>
      <c r="B661" t="s">
        <v>1408</v>
      </c>
      <c r="C661" t="s">
        <v>21</v>
      </c>
      <c r="D661" t="str" cm="1">
        <f t="array" ref="D661">_xlfn.IFS(OR(LOWER(C661)="f",LOWER(C661)="female"),"Female",TRUE,"Male")</f>
        <v>Female</v>
      </c>
      <c r="E661">
        <v>56</v>
      </c>
      <c r="F661">
        <f t="shared" si="50"/>
        <v>56</v>
      </c>
      <c r="G661" t="s">
        <v>135</v>
      </c>
      <c r="H661" t="s">
        <v>29</v>
      </c>
      <c r="I661" t="s">
        <v>85</v>
      </c>
      <c r="J661">
        <v>19</v>
      </c>
      <c r="K661">
        <f t="shared" si="51"/>
        <v>19</v>
      </c>
      <c r="L661">
        <v>20</v>
      </c>
      <c r="M661" t="str">
        <f t="shared" si="52"/>
        <v>20</v>
      </c>
      <c r="N661">
        <v>0</v>
      </c>
      <c r="O661" s="3" t="str">
        <f t="shared" si="53"/>
        <v>Not Specified</v>
      </c>
      <c r="P661">
        <v>0</v>
      </c>
      <c r="Q661" t="str" cm="1">
        <f t="array" ref="Q661">_xlfn.IFS(ISBLANK(P661),"Not Specified",OR(P661="N",P661=FALSE,P661="no",P661=0),"no",TRUE,"yes")</f>
        <v>no</v>
      </c>
      <c r="R661" s="5">
        <v>0.87</v>
      </c>
      <c r="S661">
        <f t="shared" si="54"/>
        <v>87</v>
      </c>
    </row>
    <row r="662" spans="1:19">
      <c r="A662" t="s">
        <v>1409</v>
      </c>
      <c r="B662" t="s">
        <v>1410</v>
      </c>
      <c r="C662" t="s">
        <v>41</v>
      </c>
      <c r="D662" t="str" cm="1">
        <f t="array" ref="D662">_xlfn.IFS(OR(LOWER(C662)="f",LOWER(C662)="female"),"Female",TRUE,"Male")</f>
        <v>Female</v>
      </c>
      <c r="E662">
        <v>36</v>
      </c>
      <c r="F662">
        <f t="shared" si="50"/>
        <v>36</v>
      </c>
      <c r="G662" t="s">
        <v>65</v>
      </c>
      <c r="H662" t="s">
        <v>29</v>
      </c>
      <c r="I662" t="s">
        <v>121</v>
      </c>
      <c r="J662">
        <v>9</v>
      </c>
      <c r="K662">
        <f t="shared" si="51"/>
        <v>9</v>
      </c>
      <c r="L662">
        <v>20</v>
      </c>
      <c r="M662" t="str">
        <f t="shared" si="52"/>
        <v>20</v>
      </c>
      <c r="N662">
        <v>0</v>
      </c>
      <c r="O662" s="3" t="str">
        <f t="shared" si="53"/>
        <v>Not Specified</v>
      </c>
      <c r="P662">
        <v>1</v>
      </c>
      <c r="Q662" t="str" cm="1">
        <f t="array" ref="Q662">_xlfn.IFS(ISBLANK(P662),"Not Specified",OR(P662="N",P662=FALSE,P662="no",P662=0),"no",TRUE,"yes")</f>
        <v>yes</v>
      </c>
      <c r="R662">
        <v>68</v>
      </c>
      <c r="S662">
        <f t="shared" si="54"/>
        <v>68</v>
      </c>
    </row>
    <row r="663" spans="1:19">
      <c r="A663" t="s">
        <v>1411</v>
      </c>
      <c r="B663" t="s">
        <v>1412</v>
      </c>
      <c r="C663" t="s">
        <v>84</v>
      </c>
      <c r="D663" t="str" cm="1">
        <f t="array" ref="D663">_xlfn.IFS(OR(LOWER(C663)="f",LOWER(C663)="female"),"Female",TRUE,"Male")</f>
        <v>Female</v>
      </c>
      <c r="E663">
        <v>52</v>
      </c>
      <c r="F663">
        <f t="shared" si="50"/>
        <v>52</v>
      </c>
      <c r="G663" t="s">
        <v>135</v>
      </c>
      <c r="H663" t="s">
        <v>29</v>
      </c>
      <c r="I663" t="s">
        <v>80</v>
      </c>
      <c r="J663">
        <v>16</v>
      </c>
      <c r="K663">
        <f t="shared" si="51"/>
        <v>16</v>
      </c>
      <c r="L663">
        <v>100</v>
      </c>
      <c r="M663" t="str">
        <f t="shared" si="52"/>
        <v>100</v>
      </c>
      <c r="N663">
        <v>4</v>
      </c>
      <c r="O663" s="3">
        <f t="shared" si="53"/>
        <v>4</v>
      </c>
      <c r="P663">
        <v>1</v>
      </c>
      <c r="Q663" t="str" cm="1">
        <f t="array" ref="Q663">_xlfn.IFS(ISBLANK(P663),"Not Specified",OR(P663="N",P663=FALSE,P663="no",P663=0),"no",TRUE,"yes")</f>
        <v>yes</v>
      </c>
      <c r="S663" t="str">
        <f t="shared" si="54"/>
        <v>Not Specified</v>
      </c>
    </row>
    <row r="664" spans="1:19">
      <c r="A664" t="s">
        <v>1413</v>
      </c>
      <c r="B664" t="s">
        <v>1414</v>
      </c>
      <c r="C664" t="s">
        <v>84</v>
      </c>
      <c r="D664" t="str" cm="1">
        <f t="array" ref="D664">_xlfn.IFS(OR(LOWER(C664)="f",LOWER(C664)="female"),"Female",TRUE,"Male")</f>
        <v>Female</v>
      </c>
      <c r="E664">
        <v>42</v>
      </c>
      <c r="F664">
        <f t="shared" si="50"/>
        <v>42</v>
      </c>
      <c r="G664" t="s">
        <v>49</v>
      </c>
      <c r="H664" t="s">
        <v>50</v>
      </c>
      <c r="I664" t="s">
        <v>30</v>
      </c>
      <c r="J664">
        <v>8</v>
      </c>
      <c r="K664">
        <f t="shared" si="51"/>
        <v>8</v>
      </c>
      <c r="L664" t="s">
        <v>105</v>
      </c>
      <c r="M664" t="str">
        <f t="shared" si="52"/>
        <v> 50</v>
      </c>
      <c r="O664" s="3" t="str">
        <f t="shared" si="53"/>
        <v>Not Specified</v>
      </c>
      <c r="Q664" t="str" cm="1">
        <f t="array" ref="Q664">_xlfn.IFS(ISBLANK(P664),"Not Specified",OR(P664="N",P664=FALSE,P664="no",P664=0),"no",TRUE,"yes")</f>
        <v>Not Specified</v>
      </c>
      <c r="S664" t="str">
        <f t="shared" si="54"/>
        <v>Not Specified</v>
      </c>
    </row>
    <row r="665" spans="1:19">
      <c r="A665" t="s">
        <v>1415</v>
      </c>
      <c r="B665" t="s">
        <v>1416</v>
      </c>
      <c r="C665" t="s">
        <v>27</v>
      </c>
      <c r="D665" t="str" cm="1">
        <f t="array" ref="D665">_xlfn.IFS(OR(LOWER(C665)="f",LOWER(C665)="female"),"Female",TRUE,"Male")</f>
        <v>Female</v>
      </c>
      <c r="E665">
        <v>59</v>
      </c>
      <c r="F665">
        <f t="shared" si="50"/>
        <v>59</v>
      </c>
      <c r="G665" t="s">
        <v>100</v>
      </c>
      <c r="H665" t="s">
        <v>101</v>
      </c>
      <c r="I665" t="s">
        <v>30</v>
      </c>
      <c r="J665">
        <v>34</v>
      </c>
      <c r="K665">
        <f t="shared" si="51"/>
        <v>34</v>
      </c>
      <c r="L665">
        <v>100</v>
      </c>
      <c r="M665" t="str">
        <f t="shared" si="52"/>
        <v>100</v>
      </c>
      <c r="N665">
        <v>2</v>
      </c>
      <c r="O665" s="3">
        <f t="shared" si="53"/>
        <v>2</v>
      </c>
      <c r="P665">
        <v>1</v>
      </c>
      <c r="Q665" t="str" cm="1">
        <f t="array" ref="Q665">_xlfn.IFS(ISBLANK(P665),"Not Specified",OR(P665="N",P665=FALSE,P665="no",P665=0),"no",TRUE,"yes")</f>
        <v>yes</v>
      </c>
      <c r="R665" s="5">
        <v>0.79</v>
      </c>
      <c r="S665">
        <f t="shared" si="54"/>
        <v>79</v>
      </c>
    </row>
    <row r="666" spans="1:19">
      <c r="A666" t="s">
        <v>1417</v>
      </c>
      <c r="B666" t="s">
        <v>1418</v>
      </c>
      <c r="C666" t="s">
        <v>34</v>
      </c>
      <c r="D666" t="str" cm="1">
        <f t="array" ref="D666">_xlfn.IFS(OR(LOWER(C666)="f",LOWER(C666)="female"),"Female",TRUE,"Male")</f>
        <v>Male</v>
      </c>
      <c r="E666">
        <v>33</v>
      </c>
      <c r="F666">
        <f t="shared" si="50"/>
        <v>33</v>
      </c>
      <c r="G666" t="s">
        <v>49</v>
      </c>
      <c r="H666" t="s">
        <v>50</v>
      </c>
      <c r="I666" t="s">
        <v>30</v>
      </c>
      <c r="J666">
        <v>5</v>
      </c>
      <c r="K666">
        <f t="shared" si="51"/>
        <v>5</v>
      </c>
      <c r="L666" t="s">
        <v>71</v>
      </c>
      <c r="M666" t="str">
        <f t="shared" si="52"/>
        <v>50</v>
      </c>
      <c r="N666">
        <v>4.7</v>
      </c>
      <c r="O666" s="3">
        <f t="shared" si="53"/>
        <v>4.7</v>
      </c>
      <c r="P666">
        <v>1</v>
      </c>
      <c r="Q666" t="str" cm="1">
        <f t="array" ref="Q666">_xlfn.IFS(ISBLANK(P666),"Not Specified",OR(P666="N",P666=FALSE,P666="no",P666=0),"no",TRUE,"yes")</f>
        <v>yes</v>
      </c>
      <c r="R666" s="5">
        <v>0.88</v>
      </c>
      <c r="S666">
        <f t="shared" si="54"/>
        <v>88</v>
      </c>
    </row>
    <row r="667" spans="1:19">
      <c r="A667" t="s">
        <v>1419</v>
      </c>
      <c r="B667" t="s">
        <v>1420</v>
      </c>
      <c r="C667" t="s">
        <v>41</v>
      </c>
      <c r="D667" t="str" cm="1">
        <f t="array" ref="D667">_xlfn.IFS(OR(LOWER(C667)="f",LOWER(C667)="female"),"Female",TRUE,"Male")</f>
        <v>Female</v>
      </c>
      <c r="E667">
        <v>55</v>
      </c>
      <c r="F667">
        <f t="shared" si="50"/>
        <v>55</v>
      </c>
      <c r="G667" t="s">
        <v>135</v>
      </c>
      <c r="H667" t="s">
        <v>29</v>
      </c>
      <c r="I667" t="s">
        <v>42</v>
      </c>
      <c r="J667">
        <v>14</v>
      </c>
      <c r="K667">
        <f t="shared" si="51"/>
        <v>14</v>
      </c>
      <c r="L667" t="s">
        <v>105</v>
      </c>
      <c r="M667" t="str">
        <f t="shared" si="52"/>
        <v> 50</v>
      </c>
      <c r="N667">
        <v>3.6</v>
      </c>
      <c r="O667" s="3">
        <f t="shared" si="53"/>
        <v>3.6</v>
      </c>
      <c r="P667">
        <v>1</v>
      </c>
      <c r="Q667" t="str" cm="1">
        <f t="array" ref="Q667">_xlfn.IFS(ISBLANK(P667),"Not Specified",OR(P667="N",P667=FALSE,P667="no",P667=0),"no",TRUE,"yes")</f>
        <v>yes</v>
      </c>
      <c r="R667" s="5">
        <v>0.81</v>
      </c>
      <c r="S667">
        <f t="shared" si="54"/>
        <v>81</v>
      </c>
    </row>
    <row r="668" spans="1:19">
      <c r="A668" t="s">
        <v>1421</v>
      </c>
      <c r="B668" t="s">
        <v>1422</v>
      </c>
      <c r="C668" t="s">
        <v>34</v>
      </c>
      <c r="D668" t="str" cm="1">
        <f t="array" ref="D668">_xlfn.IFS(OR(LOWER(C668)="f",LOWER(C668)="female"),"Female",TRUE,"Male")</f>
        <v>Male</v>
      </c>
      <c r="E668">
        <v>47</v>
      </c>
      <c r="F668">
        <f t="shared" si="50"/>
        <v>47</v>
      </c>
      <c r="G668" t="s">
        <v>119</v>
      </c>
      <c r="H668" t="s">
        <v>120</v>
      </c>
      <c r="I668" t="s">
        <v>80</v>
      </c>
      <c r="J668">
        <v>17</v>
      </c>
      <c r="K668">
        <f t="shared" si="51"/>
        <v>17</v>
      </c>
      <c r="L668">
        <v>50</v>
      </c>
      <c r="M668" t="str">
        <f t="shared" si="52"/>
        <v>50</v>
      </c>
      <c r="N668">
        <v>1.2</v>
      </c>
      <c r="O668" s="3">
        <f t="shared" si="53"/>
        <v>1.2</v>
      </c>
      <c r="P668" t="s">
        <v>38</v>
      </c>
      <c r="Q668" t="str" cm="1">
        <f t="array" ref="Q668">_xlfn.IFS(ISBLANK(P668),"Not Specified",OR(P668="N",P668=FALSE,P668="no",P668=0),"no",TRUE,"yes")</f>
        <v>no</v>
      </c>
      <c r="S668" t="str">
        <f t="shared" si="54"/>
        <v>Not Specified</v>
      </c>
    </row>
    <row r="669" spans="1:19">
      <c r="A669" t="s">
        <v>1423</v>
      </c>
      <c r="B669" t="s">
        <v>1424</v>
      </c>
      <c r="C669" t="s">
        <v>27</v>
      </c>
      <c r="D669" t="str" cm="1">
        <f t="array" ref="D669">_xlfn.IFS(OR(LOWER(C669)="f",LOWER(C669)="female"),"Female",TRUE,"Male")</f>
        <v>Female</v>
      </c>
      <c r="E669">
        <v>29</v>
      </c>
      <c r="F669">
        <f t="shared" si="50"/>
        <v>29</v>
      </c>
      <c r="G669" t="s">
        <v>186</v>
      </c>
      <c r="H669" t="s">
        <v>79</v>
      </c>
      <c r="I669" t="s">
        <v>51</v>
      </c>
      <c r="J669">
        <v>10</v>
      </c>
      <c r="K669">
        <f t="shared" si="51"/>
        <v>10</v>
      </c>
      <c r="M669" t="str">
        <f t="shared" si="52"/>
        <v>Not Specified</v>
      </c>
      <c r="N669">
        <v>4.4</v>
      </c>
      <c r="O669" s="3">
        <f t="shared" si="53"/>
        <v>4.4</v>
      </c>
      <c r="P669" t="s">
        <v>81</v>
      </c>
      <c r="Q669" t="str" cm="1">
        <f t="array" ref="Q669">_xlfn.IFS(ISBLANK(P669),"Not Specified",OR(P669="N",P669=FALSE,P669="no",P669=0),"no",TRUE,"yes")</f>
        <v>yes</v>
      </c>
      <c r="R669" s="5">
        <v>0.67</v>
      </c>
      <c r="S669">
        <f t="shared" si="54"/>
        <v>67</v>
      </c>
    </row>
    <row r="670" spans="1:19">
      <c r="A670" t="s">
        <v>1425</v>
      </c>
      <c r="B670" t="s">
        <v>1426</v>
      </c>
      <c r="C670" t="s">
        <v>84</v>
      </c>
      <c r="D670" t="str" cm="1">
        <f t="array" ref="D670">_xlfn.IFS(OR(LOWER(C670)="f",LOWER(C670)="female"),"Female",TRUE,"Male")</f>
        <v>Female</v>
      </c>
      <c r="E670">
        <v>30</v>
      </c>
      <c r="F670">
        <f t="shared" si="50"/>
        <v>30</v>
      </c>
      <c r="G670" t="s">
        <v>74</v>
      </c>
      <c r="H670" t="s">
        <v>29</v>
      </c>
      <c r="I670" t="s">
        <v>96</v>
      </c>
      <c r="J670">
        <v>8</v>
      </c>
      <c r="K670">
        <f t="shared" si="51"/>
        <v>8</v>
      </c>
      <c r="L670">
        <v>100</v>
      </c>
      <c r="M670" t="str">
        <f t="shared" si="52"/>
        <v>100</v>
      </c>
      <c r="N670">
        <v>1.4</v>
      </c>
      <c r="O670" s="3">
        <f t="shared" si="53"/>
        <v>1.4</v>
      </c>
      <c r="P670" t="s">
        <v>75</v>
      </c>
      <c r="Q670" t="str" cm="1">
        <f t="array" ref="Q670">_xlfn.IFS(ISBLANK(P670),"Not Specified",OR(P670="N",P670=FALSE,P670="no",P670=0),"no",TRUE,"yes")</f>
        <v>yes</v>
      </c>
      <c r="R670">
        <v>62</v>
      </c>
      <c r="S670">
        <f t="shared" si="54"/>
        <v>62</v>
      </c>
    </row>
    <row r="671" spans="1:19">
      <c r="A671" t="s">
        <v>1427</v>
      </c>
      <c r="B671" t="s">
        <v>1428</v>
      </c>
      <c r="C671" t="s">
        <v>27</v>
      </c>
      <c r="D671" t="str" cm="1">
        <f t="array" ref="D671">_xlfn.IFS(OR(LOWER(C671)="f",LOWER(C671)="female"),"Female",TRUE,"Male")</f>
        <v>Female</v>
      </c>
      <c r="E671">
        <v>25</v>
      </c>
      <c r="F671">
        <f t="shared" si="50"/>
        <v>25</v>
      </c>
      <c r="G671" t="s">
        <v>135</v>
      </c>
      <c r="H671" t="s">
        <v>29</v>
      </c>
      <c r="I671" t="s">
        <v>96</v>
      </c>
      <c r="J671">
        <v>1</v>
      </c>
      <c r="K671">
        <f t="shared" si="51"/>
        <v>1</v>
      </c>
      <c r="L671" t="s">
        <v>116</v>
      </c>
      <c r="M671" t="str">
        <f t="shared" si="52"/>
        <v> 30</v>
      </c>
      <c r="N671">
        <v>3.2</v>
      </c>
      <c r="O671" s="3">
        <f t="shared" si="53"/>
        <v>3.2</v>
      </c>
      <c r="P671">
        <v>0</v>
      </c>
      <c r="Q671" t="str" cm="1">
        <f t="array" ref="Q671">_xlfn.IFS(ISBLANK(P671),"Not Specified",OR(P671="N",P671=FALSE,P671="no",P671=0),"no",TRUE,"yes")</f>
        <v>no</v>
      </c>
      <c r="R671" s="5">
        <v>0.87</v>
      </c>
      <c r="S671">
        <f t="shared" si="54"/>
        <v>87</v>
      </c>
    </row>
    <row r="672" spans="1:19">
      <c r="A672" t="s">
        <v>1429</v>
      </c>
      <c r="B672" t="s">
        <v>1430</v>
      </c>
      <c r="C672" t="s">
        <v>46</v>
      </c>
      <c r="D672" t="str" cm="1">
        <f t="array" ref="D672">_xlfn.IFS(OR(LOWER(C672)="f",LOWER(C672)="female"),"Female",TRUE,"Male")</f>
        <v>Female</v>
      </c>
      <c r="E672">
        <v>28</v>
      </c>
      <c r="F672">
        <f t="shared" si="50"/>
        <v>28</v>
      </c>
      <c r="G672" t="s">
        <v>146</v>
      </c>
      <c r="H672" t="s">
        <v>147</v>
      </c>
      <c r="I672" t="s">
        <v>85</v>
      </c>
      <c r="J672">
        <v>10</v>
      </c>
      <c r="K672">
        <f t="shared" si="51"/>
        <v>10</v>
      </c>
      <c r="M672" t="str">
        <f t="shared" si="52"/>
        <v>Not Specified</v>
      </c>
      <c r="N672">
        <v>3.8</v>
      </c>
      <c r="O672" s="3">
        <f t="shared" si="53"/>
        <v>3.8</v>
      </c>
      <c r="P672" t="s">
        <v>75</v>
      </c>
      <c r="Q672" t="str" cm="1">
        <f t="array" ref="Q672">_xlfn.IFS(ISBLANK(P672),"Not Specified",OR(P672="N",P672=FALSE,P672="no",P672=0),"no",TRUE,"yes")</f>
        <v>yes</v>
      </c>
      <c r="R672" s="5">
        <v>0.98</v>
      </c>
      <c r="S672">
        <f t="shared" si="54"/>
        <v>98</v>
      </c>
    </row>
    <row r="673" spans="1:19">
      <c r="A673" t="s">
        <v>1431</v>
      </c>
      <c r="B673" t="s">
        <v>1432</v>
      </c>
      <c r="C673" t="s">
        <v>34</v>
      </c>
      <c r="D673" t="str" cm="1">
        <f t="array" ref="D673">_xlfn.IFS(OR(LOWER(C673)="f",LOWER(C673)="female"),"Female",TRUE,"Male")</f>
        <v>Male</v>
      </c>
      <c r="E673">
        <v>29</v>
      </c>
      <c r="F673">
        <f t="shared" si="50"/>
        <v>29</v>
      </c>
      <c r="G673" t="s">
        <v>119</v>
      </c>
      <c r="H673" t="s">
        <v>120</v>
      </c>
      <c r="I673" t="s">
        <v>24</v>
      </c>
      <c r="J673">
        <v>0</v>
      </c>
      <c r="K673">
        <f t="shared" si="51"/>
        <v>0</v>
      </c>
      <c r="L673" t="s">
        <v>177</v>
      </c>
      <c r="M673" t="str">
        <f t="shared" si="52"/>
        <v>75</v>
      </c>
      <c r="N673">
        <v>1.5</v>
      </c>
      <c r="O673" s="3">
        <f t="shared" si="53"/>
        <v>1.5</v>
      </c>
      <c r="P673" t="b">
        <v>1</v>
      </c>
      <c r="Q673" t="str" cm="1">
        <f t="array" ref="Q673">_xlfn.IFS(ISBLANK(P673),"Not Specified",OR(P673="N",P673=FALSE,P673="no",P673=0),"no",TRUE,"yes")</f>
        <v>yes</v>
      </c>
      <c r="R673" s="5">
        <v>0.64</v>
      </c>
      <c r="S673">
        <f t="shared" si="54"/>
        <v>64</v>
      </c>
    </row>
    <row r="674" spans="1:19">
      <c r="A674" t="s">
        <v>1433</v>
      </c>
      <c r="B674" t="s">
        <v>1434</v>
      </c>
      <c r="C674" t="s">
        <v>104</v>
      </c>
      <c r="D674" t="str" cm="1">
        <f t="array" ref="D674">_xlfn.IFS(OR(LOWER(C674)="f",LOWER(C674)="female"),"Female",TRUE,"Male")</f>
        <v>Male</v>
      </c>
      <c r="E674">
        <v>30</v>
      </c>
      <c r="F674">
        <f t="shared" si="50"/>
        <v>30</v>
      </c>
      <c r="G674" t="s">
        <v>197</v>
      </c>
      <c r="H674" t="s">
        <v>79</v>
      </c>
      <c r="I674" t="s">
        <v>37</v>
      </c>
      <c r="J674">
        <v>4</v>
      </c>
      <c r="K674">
        <f t="shared" si="51"/>
        <v>4</v>
      </c>
      <c r="M674" t="str">
        <f t="shared" si="52"/>
        <v>Not Specified</v>
      </c>
      <c r="N674">
        <v>2.8</v>
      </c>
      <c r="O674" s="3">
        <f t="shared" si="53"/>
        <v>2.8</v>
      </c>
      <c r="P674">
        <v>1</v>
      </c>
      <c r="Q674" t="str" cm="1">
        <f t="array" ref="Q674">_xlfn.IFS(ISBLANK(P674),"Not Specified",OR(P674="N",P674=FALSE,P674="no",P674=0),"no",TRUE,"yes")</f>
        <v>yes</v>
      </c>
      <c r="R674" s="5">
        <v>0.71</v>
      </c>
      <c r="S674">
        <f t="shared" si="54"/>
        <v>71</v>
      </c>
    </row>
    <row r="675" spans="1:19">
      <c r="A675" t="s">
        <v>1435</v>
      </c>
      <c r="B675" t="s">
        <v>1436</v>
      </c>
      <c r="C675" t="s">
        <v>34</v>
      </c>
      <c r="D675" t="str" cm="1">
        <f t="array" ref="D675">_xlfn.IFS(OR(LOWER(C675)="f",LOWER(C675)="female"),"Female",TRUE,"Male")</f>
        <v>Male</v>
      </c>
      <c r="E675">
        <v>47</v>
      </c>
      <c r="F675">
        <f t="shared" si="50"/>
        <v>47</v>
      </c>
      <c r="G675" t="s">
        <v>146</v>
      </c>
      <c r="H675" t="s">
        <v>147</v>
      </c>
      <c r="I675" t="s">
        <v>51</v>
      </c>
      <c r="J675">
        <v>2</v>
      </c>
      <c r="K675">
        <f t="shared" si="51"/>
        <v>2</v>
      </c>
      <c r="L675">
        <v>50</v>
      </c>
      <c r="M675" t="str">
        <f t="shared" si="52"/>
        <v>50</v>
      </c>
      <c r="N675">
        <v>2.7</v>
      </c>
      <c r="O675" s="3">
        <f t="shared" si="53"/>
        <v>2.7</v>
      </c>
      <c r="P675" t="s">
        <v>166</v>
      </c>
      <c r="Q675" t="str" cm="1">
        <f t="array" ref="Q675">_xlfn.IFS(ISBLANK(P675),"Not Specified",OR(P675="N",P675=FALSE,P675="no",P675=0),"no",TRUE,"yes")</f>
        <v>no</v>
      </c>
      <c r="R675">
        <v>96</v>
      </c>
      <c r="S675">
        <f t="shared" si="54"/>
        <v>96</v>
      </c>
    </row>
    <row r="676" spans="1:19">
      <c r="A676" t="s">
        <v>1437</v>
      </c>
      <c r="B676" t="s">
        <v>1438</v>
      </c>
      <c r="C676" t="s">
        <v>68</v>
      </c>
      <c r="D676" t="str" cm="1">
        <f t="array" ref="D676">_xlfn.IFS(OR(LOWER(C676)="f",LOWER(C676)="female"),"Female",TRUE,"Male")</f>
        <v>Male</v>
      </c>
      <c r="E676">
        <v>34</v>
      </c>
      <c r="F676">
        <f t="shared" si="50"/>
        <v>34</v>
      </c>
      <c r="G676" t="s">
        <v>28</v>
      </c>
      <c r="H676" t="s">
        <v>29</v>
      </c>
      <c r="I676" t="s">
        <v>24</v>
      </c>
      <c r="J676">
        <v>10</v>
      </c>
      <c r="K676">
        <f t="shared" si="51"/>
        <v>10</v>
      </c>
      <c r="L676" t="s">
        <v>52</v>
      </c>
      <c r="M676" t="str">
        <f t="shared" si="52"/>
        <v>30</v>
      </c>
      <c r="N676">
        <v>3.9</v>
      </c>
      <c r="O676" s="3">
        <f t="shared" si="53"/>
        <v>3.9</v>
      </c>
      <c r="Q676" t="str" cm="1">
        <f t="array" ref="Q676">_xlfn.IFS(ISBLANK(P676),"Not Specified",OR(P676="N",P676=FALSE,P676="no",P676=0),"no",TRUE,"yes")</f>
        <v>Not Specified</v>
      </c>
      <c r="S676" t="str">
        <f t="shared" si="54"/>
        <v>Not Specified</v>
      </c>
    </row>
    <row r="677" spans="1:19">
      <c r="A677" t="s">
        <v>1439</v>
      </c>
      <c r="B677" t="s">
        <v>1440</v>
      </c>
      <c r="C677" t="s">
        <v>99</v>
      </c>
      <c r="D677" t="str" cm="1">
        <f t="array" ref="D677">_xlfn.IFS(OR(LOWER(C677)="f",LOWER(C677)="female"),"Female",TRUE,"Male")</f>
        <v>Male</v>
      </c>
      <c r="E677">
        <v>45</v>
      </c>
      <c r="F677">
        <f t="shared" si="50"/>
        <v>45</v>
      </c>
      <c r="G677" t="s">
        <v>65</v>
      </c>
      <c r="H677" t="s">
        <v>29</v>
      </c>
      <c r="I677" t="s">
        <v>37</v>
      </c>
      <c r="J677">
        <v>16</v>
      </c>
      <c r="K677">
        <f t="shared" si="51"/>
        <v>16</v>
      </c>
      <c r="L677">
        <v>100</v>
      </c>
      <c r="M677" t="str">
        <f t="shared" si="52"/>
        <v>100</v>
      </c>
      <c r="N677">
        <v>4.6</v>
      </c>
      <c r="O677" s="3">
        <f t="shared" si="53"/>
        <v>4.6</v>
      </c>
      <c r="P677" t="s">
        <v>38</v>
      </c>
      <c r="Q677" t="str" cm="1">
        <f t="array" ref="Q677">_xlfn.IFS(ISBLANK(P677),"Not Specified",OR(P677="N",P677=FALSE,P677="no",P677=0),"no",TRUE,"yes")</f>
        <v>no</v>
      </c>
      <c r="R677" s="5">
        <v>0.78</v>
      </c>
      <c r="S677">
        <f t="shared" si="54"/>
        <v>78</v>
      </c>
    </row>
    <row r="678" spans="1:19">
      <c r="A678" t="s">
        <v>1441</v>
      </c>
      <c r="B678" t="s">
        <v>1442</v>
      </c>
      <c r="C678" t="s">
        <v>41</v>
      </c>
      <c r="D678" t="str" cm="1">
        <f t="array" ref="D678">_xlfn.IFS(OR(LOWER(C678)="f",LOWER(C678)="female"),"Female",TRUE,"Male")</f>
        <v>Female</v>
      </c>
      <c r="E678">
        <v>56</v>
      </c>
      <c r="F678">
        <f t="shared" si="50"/>
        <v>56</v>
      </c>
      <c r="G678" t="s">
        <v>197</v>
      </c>
      <c r="H678" t="s">
        <v>79</v>
      </c>
      <c r="I678" t="s">
        <v>85</v>
      </c>
      <c r="J678">
        <v>27</v>
      </c>
      <c r="K678">
        <f t="shared" si="51"/>
        <v>27</v>
      </c>
      <c r="L678" t="s">
        <v>128</v>
      </c>
      <c r="M678" t="str">
        <f t="shared" si="52"/>
        <v>20</v>
      </c>
      <c r="N678">
        <v>2.2</v>
      </c>
      <c r="O678" s="3">
        <f t="shared" si="53"/>
        <v>2.2</v>
      </c>
      <c r="P678" t="b">
        <v>0</v>
      </c>
      <c r="Q678" t="str" cm="1">
        <f t="array" ref="Q678">_xlfn.IFS(ISBLANK(P678),"Not Specified",OR(P678="N",P678=FALSE,P678="no",P678=0),"no",TRUE,"yes")</f>
        <v>no</v>
      </c>
      <c r="R678" s="5">
        <v>0.7</v>
      </c>
      <c r="S678">
        <f t="shared" si="54"/>
        <v>70</v>
      </c>
    </row>
    <row r="679" spans="1:19">
      <c r="A679" t="s">
        <v>1443</v>
      </c>
      <c r="B679" t="s">
        <v>1444</v>
      </c>
      <c r="C679" t="s">
        <v>46</v>
      </c>
      <c r="D679" t="str" cm="1">
        <f t="array" ref="D679">_xlfn.IFS(OR(LOWER(C679)="f",LOWER(C679)="female"),"Female",TRUE,"Male")</f>
        <v>Female</v>
      </c>
      <c r="E679">
        <v>49</v>
      </c>
      <c r="F679">
        <f t="shared" si="50"/>
        <v>49</v>
      </c>
      <c r="G679" t="s">
        <v>182</v>
      </c>
      <c r="H679" t="s">
        <v>183</v>
      </c>
      <c r="I679" t="s">
        <v>96</v>
      </c>
      <c r="J679">
        <v>20</v>
      </c>
      <c r="K679">
        <f t="shared" si="51"/>
        <v>20</v>
      </c>
      <c r="L679">
        <v>50</v>
      </c>
      <c r="M679" t="str">
        <f t="shared" si="52"/>
        <v>50</v>
      </c>
      <c r="N679">
        <v>2.5</v>
      </c>
      <c r="O679" s="3">
        <f t="shared" si="53"/>
        <v>2.5</v>
      </c>
      <c r="P679">
        <v>0</v>
      </c>
      <c r="Q679" t="str" cm="1">
        <f t="array" ref="Q679">_xlfn.IFS(ISBLANK(P679),"Not Specified",OR(P679="N",P679=FALSE,P679="no",P679=0),"no",TRUE,"yes")</f>
        <v>no</v>
      </c>
      <c r="R679" s="5">
        <v>0.82</v>
      </c>
      <c r="S679">
        <f t="shared" si="54"/>
        <v>82</v>
      </c>
    </row>
    <row r="680" spans="1:19">
      <c r="A680" t="s">
        <v>1445</v>
      </c>
      <c r="B680" t="s">
        <v>1446</v>
      </c>
      <c r="C680" t="s">
        <v>68</v>
      </c>
      <c r="D680" t="str" cm="1">
        <f t="array" ref="D680">_xlfn.IFS(OR(LOWER(C680)="f",LOWER(C680)="female"),"Female",TRUE,"Male")</f>
        <v>Male</v>
      </c>
      <c r="E680">
        <v>48</v>
      </c>
      <c r="F680">
        <f t="shared" si="50"/>
        <v>48</v>
      </c>
      <c r="G680" t="s">
        <v>142</v>
      </c>
      <c r="H680" t="s">
        <v>143</v>
      </c>
      <c r="I680" t="s">
        <v>51</v>
      </c>
      <c r="J680">
        <v>10</v>
      </c>
      <c r="K680">
        <f t="shared" si="51"/>
        <v>10</v>
      </c>
      <c r="M680" t="str">
        <f t="shared" si="52"/>
        <v>Not Specified</v>
      </c>
      <c r="N680">
        <v>3.1</v>
      </c>
      <c r="O680" s="3">
        <f t="shared" si="53"/>
        <v>3.1</v>
      </c>
      <c r="P680" t="b">
        <v>0</v>
      </c>
      <c r="Q680" t="str" cm="1">
        <f t="array" ref="Q680">_xlfn.IFS(ISBLANK(P680),"Not Specified",OR(P680="N",P680=FALSE,P680="no",P680=0),"no",TRUE,"yes")</f>
        <v>no</v>
      </c>
      <c r="S680" t="str">
        <f t="shared" si="54"/>
        <v>Not Specified</v>
      </c>
    </row>
    <row r="681" spans="1:19">
      <c r="A681" t="s">
        <v>1447</v>
      </c>
      <c r="B681" t="s">
        <v>1448</v>
      </c>
      <c r="C681" t="s">
        <v>46</v>
      </c>
      <c r="D681" t="str" cm="1">
        <f t="array" ref="D681">_xlfn.IFS(OR(LOWER(C681)="f",LOWER(C681)="female"),"Female",TRUE,"Male")</f>
        <v>Female</v>
      </c>
      <c r="E681">
        <v>29</v>
      </c>
      <c r="F681">
        <f t="shared" si="50"/>
        <v>29</v>
      </c>
      <c r="G681" t="s">
        <v>119</v>
      </c>
      <c r="H681" t="s">
        <v>120</v>
      </c>
      <c r="I681" t="s">
        <v>37</v>
      </c>
      <c r="J681">
        <v>0</v>
      </c>
      <c r="K681">
        <f t="shared" si="51"/>
        <v>0</v>
      </c>
      <c r="L681" t="s">
        <v>128</v>
      </c>
      <c r="M681" t="str">
        <f t="shared" si="52"/>
        <v>20</v>
      </c>
      <c r="O681" s="3" t="str">
        <f t="shared" si="53"/>
        <v>Not Specified</v>
      </c>
      <c r="P681">
        <v>1</v>
      </c>
      <c r="Q681" t="str" cm="1">
        <f t="array" ref="Q681">_xlfn.IFS(ISBLANK(P681),"Not Specified",OR(P681="N",P681=FALSE,P681="no",P681=0),"no",TRUE,"yes")</f>
        <v>yes</v>
      </c>
      <c r="R681" s="5">
        <v>0.99</v>
      </c>
      <c r="S681">
        <f t="shared" si="54"/>
        <v>99</v>
      </c>
    </row>
    <row r="682" spans="1:19">
      <c r="A682" t="s">
        <v>1449</v>
      </c>
      <c r="B682" t="s">
        <v>1450</v>
      </c>
      <c r="C682" t="s">
        <v>84</v>
      </c>
      <c r="D682" t="str" cm="1">
        <f t="array" ref="D682">_xlfn.IFS(OR(LOWER(C682)="f",LOWER(C682)="female"),"Female",TRUE,"Male")</f>
        <v>Female</v>
      </c>
      <c r="E682">
        <v>49</v>
      </c>
      <c r="F682">
        <f t="shared" si="50"/>
        <v>49</v>
      </c>
      <c r="G682" t="s">
        <v>49</v>
      </c>
      <c r="H682" t="s">
        <v>50</v>
      </c>
      <c r="I682" t="s">
        <v>42</v>
      </c>
      <c r="J682">
        <v>11</v>
      </c>
      <c r="K682">
        <f t="shared" si="51"/>
        <v>11</v>
      </c>
      <c r="L682">
        <v>75</v>
      </c>
      <c r="M682" t="str">
        <f t="shared" si="52"/>
        <v>75</v>
      </c>
      <c r="N682">
        <v>3.8</v>
      </c>
      <c r="O682" s="3">
        <f t="shared" si="53"/>
        <v>3.8</v>
      </c>
      <c r="P682" t="s">
        <v>81</v>
      </c>
      <c r="Q682" t="str" cm="1">
        <f t="array" ref="Q682">_xlfn.IFS(ISBLANK(P682),"Not Specified",OR(P682="N",P682=FALSE,P682="no",P682=0),"no",TRUE,"yes")</f>
        <v>yes</v>
      </c>
      <c r="R682" s="5">
        <v>0.93</v>
      </c>
      <c r="S682">
        <f t="shared" si="54"/>
        <v>93</v>
      </c>
    </row>
    <row r="683" spans="1:19">
      <c r="A683" t="s">
        <v>1451</v>
      </c>
      <c r="B683" t="s">
        <v>1452</v>
      </c>
      <c r="C683" t="s">
        <v>27</v>
      </c>
      <c r="D683" t="str" cm="1">
        <f t="array" ref="D683">_xlfn.IFS(OR(LOWER(C683)="f",LOWER(C683)="female"),"Female",TRUE,"Male")</f>
        <v>Female</v>
      </c>
      <c r="E683">
        <v>22</v>
      </c>
      <c r="F683">
        <f t="shared" si="50"/>
        <v>22</v>
      </c>
      <c r="G683" t="s">
        <v>182</v>
      </c>
      <c r="H683" t="s">
        <v>183</v>
      </c>
      <c r="I683" t="s">
        <v>24</v>
      </c>
      <c r="J683">
        <v>1</v>
      </c>
      <c r="K683">
        <f t="shared" si="51"/>
        <v>1</v>
      </c>
      <c r="L683">
        <v>100</v>
      </c>
      <c r="M683" t="str">
        <f t="shared" si="52"/>
        <v>100</v>
      </c>
      <c r="N683">
        <v>4.8</v>
      </c>
      <c r="O683" s="3">
        <f t="shared" si="53"/>
        <v>4.8</v>
      </c>
      <c r="P683" t="s">
        <v>81</v>
      </c>
      <c r="Q683" t="str" cm="1">
        <f t="array" ref="Q683">_xlfn.IFS(ISBLANK(P683),"Not Specified",OR(P683="N",P683=FALSE,P683="no",P683=0),"no",TRUE,"yes")</f>
        <v>yes</v>
      </c>
      <c r="R683" s="5">
        <v>0.75</v>
      </c>
      <c r="S683">
        <f t="shared" si="54"/>
        <v>75</v>
      </c>
    </row>
    <row r="684" spans="1:19">
      <c r="A684" t="s">
        <v>1453</v>
      </c>
      <c r="B684" t="s">
        <v>1454</v>
      </c>
      <c r="C684" t="s">
        <v>55</v>
      </c>
      <c r="D684" t="str" cm="1">
        <f t="array" ref="D684">_xlfn.IFS(OR(LOWER(C684)="f",LOWER(C684)="female"),"Female",TRUE,"Male")</f>
        <v>Male</v>
      </c>
      <c r="E684">
        <v>52</v>
      </c>
      <c r="F684">
        <f t="shared" si="50"/>
        <v>52</v>
      </c>
      <c r="G684" t="s">
        <v>186</v>
      </c>
      <c r="H684" t="s">
        <v>79</v>
      </c>
      <c r="I684" t="s">
        <v>37</v>
      </c>
      <c r="J684">
        <v>30</v>
      </c>
      <c r="K684">
        <f t="shared" si="51"/>
        <v>30</v>
      </c>
      <c r="L684" t="s">
        <v>31</v>
      </c>
      <c r="M684" t="str">
        <f t="shared" si="52"/>
        <v> 100</v>
      </c>
      <c r="N684">
        <v>2.5</v>
      </c>
      <c r="O684" s="3">
        <f t="shared" si="53"/>
        <v>2.5</v>
      </c>
      <c r="Q684" t="str" cm="1">
        <f t="array" ref="Q684">_xlfn.IFS(ISBLANK(P684),"Not Specified",OR(P684="N",P684=FALSE,P684="no",P684=0),"no",TRUE,"yes")</f>
        <v>Not Specified</v>
      </c>
      <c r="R684">
        <v>61</v>
      </c>
      <c r="S684">
        <f t="shared" si="54"/>
        <v>61</v>
      </c>
    </row>
    <row r="685" spans="1:19">
      <c r="A685" t="s">
        <v>1455</v>
      </c>
      <c r="B685" t="s">
        <v>1456</v>
      </c>
      <c r="C685" t="s">
        <v>68</v>
      </c>
      <c r="D685" t="str" cm="1">
        <f t="array" ref="D685">_xlfn.IFS(OR(LOWER(C685)="f",LOWER(C685)="female"),"Female",TRUE,"Male")</f>
        <v>Male</v>
      </c>
      <c r="E685">
        <v>60</v>
      </c>
      <c r="F685">
        <f t="shared" si="50"/>
        <v>60</v>
      </c>
      <c r="G685" t="s">
        <v>135</v>
      </c>
      <c r="H685" t="s">
        <v>29</v>
      </c>
      <c r="I685" t="s">
        <v>24</v>
      </c>
      <c r="J685">
        <v>7</v>
      </c>
      <c r="K685">
        <f t="shared" si="51"/>
        <v>7</v>
      </c>
      <c r="L685" t="s">
        <v>116</v>
      </c>
      <c r="M685" t="str">
        <f t="shared" si="52"/>
        <v> 30</v>
      </c>
      <c r="N685">
        <v>0</v>
      </c>
      <c r="O685" s="3" t="str">
        <f t="shared" si="53"/>
        <v>Not Specified</v>
      </c>
      <c r="P685" t="s">
        <v>166</v>
      </c>
      <c r="Q685" t="str" cm="1">
        <f t="array" ref="Q685">_xlfn.IFS(ISBLANK(P685),"Not Specified",OR(P685="N",P685=FALSE,P685="no",P685=0),"no",TRUE,"yes")</f>
        <v>no</v>
      </c>
      <c r="R685" s="5">
        <v>0.97</v>
      </c>
      <c r="S685">
        <f t="shared" si="54"/>
        <v>97</v>
      </c>
    </row>
    <row r="686" spans="1:19">
      <c r="A686" t="s">
        <v>1457</v>
      </c>
      <c r="B686" t="s">
        <v>1458</v>
      </c>
      <c r="C686" t="s">
        <v>41</v>
      </c>
      <c r="D686" t="str" cm="1">
        <f t="array" ref="D686">_xlfn.IFS(OR(LOWER(C686)="f",LOWER(C686)="female"),"Female",TRUE,"Male")</f>
        <v>Female</v>
      </c>
      <c r="E686">
        <v>33</v>
      </c>
      <c r="F686">
        <f t="shared" si="50"/>
        <v>33</v>
      </c>
      <c r="G686" t="s">
        <v>92</v>
      </c>
      <c r="H686" t="s">
        <v>93</v>
      </c>
      <c r="I686" t="s">
        <v>80</v>
      </c>
      <c r="J686">
        <v>0</v>
      </c>
      <c r="K686">
        <f t="shared" si="51"/>
        <v>0</v>
      </c>
      <c r="L686" t="s">
        <v>236</v>
      </c>
      <c r="M686" t="str">
        <f t="shared" si="52"/>
        <v>100</v>
      </c>
      <c r="N686">
        <v>1.7</v>
      </c>
      <c r="O686" s="3">
        <f t="shared" si="53"/>
        <v>1.7</v>
      </c>
      <c r="P686">
        <v>1</v>
      </c>
      <c r="Q686" t="str" cm="1">
        <f t="array" ref="Q686">_xlfn.IFS(ISBLANK(P686),"Not Specified",OR(P686="N",P686=FALSE,P686="no",P686=0),"no",TRUE,"yes")</f>
        <v>yes</v>
      </c>
      <c r="R686">
        <v>95</v>
      </c>
      <c r="S686">
        <f t="shared" si="54"/>
        <v>95</v>
      </c>
    </row>
    <row r="687" spans="1:19">
      <c r="A687" t="s">
        <v>1459</v>
      </c>
      <c r="B687" t="s">
        <v>1460</v>
      </c>
      <c r="C687" t="s">
        <v>99</v>
      </c>
      <c r="D687" t="str" cm="1">
        <f t="array" ref="D687">_xlfn.IFS(OR(LOWER(C687)="f",LOWER(C687)="female"),"Female",TRUE,"Male")</f>
        <v>Male</v>
      </c>
      <c r="E687">
        <v>52</v>
      </c>
      <c r="F687">
        <f t="shared" si="50"/>
        <v>52</v>
      </c>
      <c r="G687" t="s">
        <v>119</v>
      </c>
      <c r="H687" t="s">
        <v>120</v>
      </c>
      <c r="I687" t="s">
        <v>37</v>
      </c>
      <c r="J687">
        <v>21</v>
      </c>
      <c r="K687">
        <f t="shared" si="51"/>
        <v>21</v>
      </c>
      <c r="L687" t="s">
        <v>62</v>
      </c>
      <c r="M687" t="str">
        <f t="shared" si="52"/>
        <v> 40</v>
      </c>
      <c r="N687">
        <v>4</v>
      </c>
      <c r="O687" s="3">
        <f t="shared" si="53"/>
        <v>4</v>
      </c>
      <c r="Q687" t="str" cm="1">
        <f t="array" ref="Q687">_xlfn.IFS(ISBLANK(P687),"Not Specified",OR(P687="N",P687=FALSE,P687="no",P687=0),"no",TRUE,"yes")</f>
        <v>Not Specified</v>
      </c>
      <c r="R687" s="5">
        <v>0.69</v>
      </c>
      <c r="S687">
        <f t="shared" si="54"/>
        <v>69</v>
      </c>
    </row>
    <row r="688" spans="1:19">
      <c r="A688" t="s">
        <v>1461</v>
      </c>
      <c r="B688" t="s">
        <v>1462</v>
      </c>
      <c r="C688" t="s">
        <v>21</v>
      </c>
      <c r="D688" t="str" cm="1">
        <f t="array" ref="D688">_xlfn.IFS(OR(LOWER(C688)="f",LOWER(C688)="female"),"Female",TRUE,"Male")</f>
        <v>Female</v>
      </c>
      <c r="E688">
        <v>25</v>
      </c>
      <c r="F688">
        <f t="shared" si="50"/>
        <v>25</v>
      </c>
      <c r="G688" t="s">
        <v>35</v>
      </c>
      <c r="H688" t="s">
        <v>36</v>
      </c>
      <c r="I688" t="s">
        <v>96</v>
      </c>
      <c r="J688">
        <v>7</v>
      </c>
      <c r="K688">
        <f t="shared" si="51"/>
        <v>7</v>
      </c>
      <c r="L688" t="s">
        <v>31</v>
      </c>
      <c r="M688" t="str">
        <f t="shared" si="52"/>
        <v> 100</v>
      </c>
      <c r="N688">
        <v>1.9</v>
      </c>
      <c r="O688" s="3">
        <f t="shared" si="53"/>
        <v>1.9</v>
      </c>
      <c r="P688" t="b">
        <v>0</v>
      </c>
      <c r="Q688" t="str" cm="1">
        <f t="array" ref="Q688">_xlfn.IFS(ISBLANK(P688),"Not Specified",OR(P688="N",P688=FALSE,P688="no",P688=0),"no",TRUE,"yes")</f>
        <v>no</v>
      </c>
      <c r="R688" s="5">
        <v>0.63</v>
      </c>
      <c r="S688">
        <f t="shared" si="54"/>
        <v>63</v>
      </c>
    </row>
    <row r="689" spans="1:19">
      <c r="A689" t="s">
        <v>1463</v>
      </c>
      <c r="B689" t="s">
        <v>1464</v>
      </c>
      <c r="C689" t="s">
        <v>99</v>
      </c>
      <c r="D689" t="str" cm="1">
        <f t="array" ref="D689">_xlfn.IFS(OR(LOWER(C689)="f",LOWER(C689)="female"),"Female",TRUE,"Male")</f>
        <v>Male</v>
      </c>
      <c r="E689">
        <v>33</v>
      </c>
      <c r="F689">
        <f t="shared" si="50"/>
        <v>33</v>
      </c>
      <c r="G689" t="s">
        <v>92</v>
      </c>
      <c r="H689" t="s">
        <v>93</v>
      </c>
      <c r="I689" t="s">
        <v>85</v>
      </c>
      <c r="K689" t="str">
        <f t="shared" si="51"/>
        <v>Not Specified</v>
      </c>
      <c r="L689" t="s">
        <v>116</v>
      </c>
      <c r="M689" t="str">
        <f t="shared" si="52"/>
        <v> 30</v>
      </c>
      <c r="N689">
        <v>4.4</v>
      </c>
      <c r="O689" s="3">
        <f t="shared" si="53"/>
        <v>4.4</v>
      </c>
      <c r="P689" t="b">
        <v>1</v>
      </c>
      <c r="Q689" t="str" cm="1">
        <f t="array" ref="Q689">_xlfn.IFS(ISBLANK(P689),"Not Specified",OR(P689="N",P689=FALSE,P689="no",P689=0),"no",TRUE,"yes")</f>
        <v>yes</v>
      </c>
      <c r="R689" s="5">
        <v>0.65</v>
      </c>
      <c r="S689">
        <f t="shared" si="54"/>
        <v>65</v>
      </c>
    </row>
    <row r="690" spans="1:19">
      <c r="A690" t="s">
        <v>1465</v>
      </c>
      <c r="B690" t="s">
        <v>1466</v>
      </c>
      <c r="C690" t="s">
        <v>21</v>
      </c>
      <c r="D690" t="str" cm="1">
        <f t="array" ref="D690">_xlfn.IFS(OR(LOWER(C690)="f",LOWER(C690)="female"),"Female",TRUE,"Male")</f>
        <v>Female</v>
      </c>
      <c r="E690">
        <v>33</v>
      </c>
      <c r="F690">
        <f t="shared" si="50"/>
        <v>33</v>
      </c>
      <c r="G690" t="s">
        <v>182</v>
      </c>
      <c r="H690" t="s">
        <v>183</v>
      </c>
      <c r="I690" t="s">
        <v>30</v>
      </c>
      <c r="K690" t="str">
        <f t="shared" si="51"/>
        <v>Not Specified</v>
      </c>
      <c r="M690" t="str">
        <f t="shared" si="52"/>
        <v>Not Specified</v>
      </c>
      <c r="N690">
        <v>4.2</v>
      </c>
      <c r="O690" s="3">
        <f t="shared" si="53"/>
        <v>4.2</v>
      </c>
      <c r="P690" t="s">
        <v>81</v>
      </c>
      <c r="Q690" t="str" cm="1">
        <f t="array" ref="Q690">_xlfn.IFS(ISBLANK(P690),"Not Specified",OR(P690="N",P690=FALSE,P690="no",P690=0),"no",TRUE,"yes")</f>
        <v>yes</v>
      </c>
      <c r="R690" s="5">
        <v>0.9</v>
      </c>
      <c r="S690">
        <f t="shared" si="54"/>
        <v>90</v>
      </c>
    </row>
    <row r="691" spans="1:19">
      <c r="A691" t="s">
        <v>1467</v>
      </c>
      <c r="B691" t="s">
        <v>48</v>
      </c>
      <c r="C691" t="s">
        <v>84</v>
      </c>
      <c r="D691" t="str" cm="1">
        <f t="array" ref="D691">_xlfn.IFS(OR(LOWER(C691)="f",LOWER(C691)="female"),"Female",TRUE,"Male")</f>
        <v>Female</v>
      </c>
      <c r="E691">
        <v>52</v>
      </c>
      <c r="F691">
        <f t="shared" si="50"/>
        <v>52</v>
      </c>
      <c r="G691" t="s">
        <v>135</v>
      </c>
      <c r="H691" t="s">
        <v>29</v>
      </c>
      <c r="I691" t="s">
        <v>80</v>
      </c>
      <c r="J691">
        <v>25</v>
      </c>
      <c r="K691">
        <f t="shared" si="51"/>
        <v>25</v>
      </c>
      <c r="L691">
        <v>100</v>
      </c>
      <c r="M691" t="str">
        <f t="shared" si="52"/>
        <v>100</v>
      </c>
      <c r="N691">
        <v>4.8</v>
      </c>
      <c r="O691" s="3">
        <f t="shared" si="53"/>
        <v>4.8</v>
      </c>
      <c r="P691" t="s">
        <v>38</v>
      </c>
      <c r="Q691" t="str" cm="1">
        <f t="array" ref="Q691">_xlfn.IFS(ISBLANK(P691),"Not Specified",OR(P691="N",P691=FALSE,P691="no",P691=0),"no",TRUE,"yes")</f>
        <v>no</v>
      </c>
      <c r="S691" t="str">
        <f t="shared" si="54"/>
        <v>Not Specified</v>
      </c>
    </row>
    <row r="692" spans="1:19">
      <c r="A692" t="s">
        <v>1468</v>
      </c>
      <c r="B692" t="s">
        <v>1469</v>
      </c>
      <c r="C692" t="s">
        <v>21</v>
      </c>
      <c r="D692" t="str" cm="1">
        <f t="array" ref="D692">_xlfn.IFS(OR(LOWER(C692)="f",LOWER(C692)="female"),"Female",TRUE,"Male")</f>
        <v>Female</v>
      </c>
      <c r="E692">
        <v>20</v>
      </c>
      <c r="F692">
        <f t="shared" si="50"/>
        <v>20</v>
      </c>
      <c r="G692" t="s">
        <v>56</v>
      </c>
      <c r="H692" t="s">
        <v>57</v>
      </c>
      <c r="I692" t="s">
        <v>42</v>
      </c>
      <c r="J692">
        <v>1</v>
      </c>
      <c r="K692">
        <f t="shared" si="51"/>
        <v>1</v>
      </c>
      <c r="L692" t="s">
        <v>116</v>
      </c>
      <c r="M692" t="str">
        <f t="shared" si="52"/>
        <v> 30</v>
      </c>
      <c r="N692">
        <v>2</v>
      </c>
      <c r="O692" s="3">
        <f t="shared" si="53"/>
        <v>2</v>
      </c>
      <c r="P692" t="s">
        <v>166</v>
      </c>
      <c r="Q692" t="str" cm="1">
        <f t="array" ref="Q692">_xlfn.IFS(ISBLANK(P692),"Not Specified",OR(P692="N",P692=FALSE,P692="no",P692=0),"no",TRUE,"yes")</f>
        <v>no</v>
      </c>
      <c r="R692" s="5">
        <v>0.89</v>
      </c>
      <c r="S692">
        <f t="shared" si="54"/>
        <v>89</v>
      </c>
    </row>
    <row r="693" spans="1:19">
      <c r="A693" t="s">
        <v>1470</v>
      </c>
      <c r="B693" t="s">
        <v>1471</v>
      </c>
      <c r="C693" t="s">
        <v>27</v>
      </c>
      <c r="D693" t="str" cm="1">
        <f t="array" ref="D693">_xlfn.IFS(OR(LOWER(C693)="f",LOWER(C693)="female"),"Female",TRUE,"Male")</f>
        <v>Female</v>
      </c>
      <c r="E693">
        <v>43</v>
      </c>
      <c r="F693">
        <f t="shared" si="50"/>
        <v>43</v>
      </c>
      <c r="G693" t="s">
        <v>131</v>
      </c>
      <c r="H693" t="s">
        <v>132</v>
      </c>
      <c r="I693" t="s">
        <v>58</v>
      </c>
      <c r="J693">
        <v>7</v>
      </c>
      <c r="K693">
        <f t="shared" si="51"/>
        <v>7</v>
      </c>
      <c r="L693" t="s">
        <v>105</v>
      </c>
      <c r="M693" t="str">
        <f t="shared" si="52"/>
        <v> 50</v>
      </c>
      <c r="O693" s="3" t="str">
        <f t="shared" si="53"/>
        <v>Not Specified</v>
      </c>
      <c r="P693">
        <v>1</v>
      </c>
      <c r="Q693" t="str" cm="1">
        <f t="array" ref="Q693">_xlfn.IFS(ISBLANK(P693),"Not Specified",OR(P693="N",P693=FALSE,P693="no",P693=0),"no",TRUE,"yes")</f>
        <v>yes</v>
      </c>
      <c r="R693" s="5">
        <v>0.8</v>
      </c>
      <c r="S693">
        <f t="shared" si="54"/>
        <v>80</v>
      </c>
    </row>
    <row r="694" spans="1:19">
      <c r="A694" t="s">
        <v>1472</v>
      </c>
      <c r="B694" t="s">
        <v>1428</v>
      </c>
      <c r="C694" t="s">
        <v>46</v>
      </c>
      <c r="D694" t="str" cm="1">
        <f t="array" ref="D694">_xlfn.IFS(OR(LOWER(C694)="f",LOWER(C694)="female"),"Female",TRUE,"Male")</f>
        <v>Female</v>
      </c>
      <c r="E694">
        <v>31</v>
      </c>
      <c r="F694">
        <f t="shared" si="50"/>
        <v>31</v>
      </c>
      <c r="G694" t="s">
        <v>142</v>
      </c>
      <c r="H694" t="s">
        <v>143</v>
      </c>
      <c r="I694" t="s">
        <v>30</v>
      </c>
      <c r="K694" t="str">
        <f t="shared" si="51"/>
        <v>Not Specified</v>
      </c>
      <c r="L694">
        <v>50</v>
      </c>
      <c r="M694" t="str">
        <f t="shared" si="52"/>
        <v>50</v>
      </c>
      <c r="N694">
        <v>1.4</v>
      </c>
      <c r="O694" s="3">
        <f t="shared" si="53"/>
        <v>1.4</v>
      </c>
      <c r="P694" t="s">
        <v>166</v>
      </c>
      <c r="Q694" t="str" cm="1">
        <f t="array" ref="Q694">_xlfn.IFS(ISBLANK(P694),"Not Specified",OR(P694="N",P694=FALSE,P694="no",P694=0),"no",TRUE,"yes")</f>
        <v>no</v>
      </c>
      <c r="R694" s="5">
        <v>0.8</v>
      </c>
      <c r="S694">
        <f t="shared" si="54"/>
        <v>80</v>
      </c>
    </row>
    <row r="695" spans="1:19">
      <c r="A695" t="s">
        <v>1473</v>
      </c>
      <c r="B695" t="s">
        <v>1474</v>
      </c>
      <c r="C695" t="s">
        <v>27</v>
      </c>
      <c r="D695" t="str" cm="1">
        <f t="array" ref="D695">_xlfn.IFS(OR(LOWER(C695)="f",LOWER(C695)="female"),"Female",TRUE,"Male")</f>
        <v>Female</v>
      </c>
      <c r="E695">
        <v>29</v>
      </c>
      <c r="F695">
        <f t="shared" si="50"/>
        <v>29</v>
      </c>
      <c r="G695" t="s">
        <v>35</v>
      </c>
      <c r="H695" t="s">
        <v>36</v>
      </c>
      <c r="I695" t="s">
        <v>58</v>
      </c>
      <c r="J695">
        <v>6</v>
      </c>
      <c r="K695">
        <f t="shared" si="51"/>
        <v>6</v>
      </c>
      <c r="L695">
        <v>100</v>
      </c>
      <c r="M695" t="str">
        <f t="shared" si="52"/>
        <v>100</v>
      </c>
      <c r="N695">
        <v>1.8</v>
      </c>
      <c r="O695" s="3">
        <f t="shared" si="53"/>
        <v>1.8</v>
      </c>
      <c r="P695" t="s">
        <v>38</v>
      </c>
      <c r="Q695" t="str" cm="1">
        <f t="array" ref="Q695">_xlfn.IFS(ISBLANK(P695),"Not Specified",OR(P695="N",P695=FALSE,P695="no",P695=0),"no",TRUE,"yes")</f>
        <v>no</v>
      </c>
      <c r="S695" t="str">
        <f t="shared" si="54"/>
        <v>Not Specified</v>
      </c>
    </row>
    <row r="696" spans="1:19">
      <c r="A696" t="s">
        <v>1475</v>
      </c>
      <c r="B696" t="s">
        <v>846</v>
      </c>
      <c r="C696" t="s">
        <v>27</v>
      </c>
      <c r="D696" t="str" cm="1">
        <f t="array" ref="D696">_xlfn.IFS(OR(LOWER(C696)="f",LOWER(C696)="female"),"Female",TRUE,"Male")</f>
        <v>Female</v>
      </c>
      <c r="E696">
        <v>53</v>
      </c>
      <c r="F696">
        <f t="shared" si="50"/>
        <v>53</v>
      </c>
      <c r="G696" t="s">
        <v>160</v>
      </c>
      <c r="H696" t="s">
        <v>161</v>
      </c>
      <c r="I696" t="s">
        <v>37</v>
      </c>
      <c r="J696">
        <v>35</v>
      </c>
      <c r="K696">
        <f t="shared" si="51"/>
        <v>35</v>
      </c>
      <c r="M696" t="str">
        <f t="shared" si="52"/>
        <v>Not Specified</v>
      </c>
      <c r="N696">
        <v>0</v>
      </c>
      <c r="O696" s="3" t="str">
        <f t="shared" si="53"/>
        <v>Not Specified</v>
      </c>
      <c r="P696">
        <v>1</v>
      </c>
      <c r="Q696" t="str" cm="1">
        <f t="array" ref="Q696">_xlfn.IFS(ISBLANK(P696),"Not Specified",OR(P696="N",P696=FALSE,P696="no",P696=0),"no",TRUE,"yes")</f>
        <v>yes</v>
      </c>
      <c r="R696" s="5">
        <v>0.67</v>
      </c>
      <c r="S696">
        <f t="shared" si="54"/>
        <v>67</v>
      </c>
    </row>
    <row r="697" spans="1:19">
      <c r="A697" t="s">
        <v>1476</v>
      </c>
      <c r="B697" t="s">
        <v>1477</v>
      </c>
      <c r="C697" t="s">
        <v>34</v>
      </c>
      <c r="D697" t="str" cm="1">
        <f t="array" ref="D697">_xlfn.IFS(OR(LOWER(C697)="f",LOWER(C697)="female"),"Female",TRUE,"Male")</f>
        <v>Male</v>
      </c>
      <c r="E697">
        <v>38</v>
      </c>
      <c r="F697">
        <f t="shared" si="50"/>
        <v>38</v>
      </c>
      <c r="G697" t="s">
        <v>100</v>
      </c>
      <c r="H697" t="s">
        <v>101</v>
      </c>
      <c r="I697" t="s">
        <v>30</v>
      </c>
      <c r="J697">
        <v>1</v>
      </c>
      <c r="K697">
        <f t="shared" si="51"/>
        <v>1</v>
      </c>
      <c r="L697" t="s">
        <v>62</v>
      </c>
      <c r="M697" t="str">
        <f t="shared" si="52"/>
        <v> 40</v>
      </c>
      <c r="N697">
        <v>0</v>
      </c>
      <c r="O697" s="3" t="str">
        <f t="shared" si="53"/>
        <v>Not Specified</v>
      </c>
      <c r="P697">
        <v>0</v>
      </c>
      <c r="Q697" t="str" cm="1">
        <f t="array" ref="Q697">_xlfn.IFS(ISBLANK(P697),"Not Specified",OR(P697="N",P697=FALSE,P697="no",P697=0),"no",TRUE,"yes")</f>
        <v>no</v>
      </c>
      <c r="R697" s="5">
        <v>0.96</v>
      </c>
      <c r="S697">
        <f t="shared" si="54"/>
        <v>96</v>
      </c>
    </row>
    <row r="698" spans="1:19">
      <c r="A698" t="s">
        <v>1478</v>
      </c>
      <c r="B698" t="s">
        <v>1479</v>
      </c>
      <c r="C698" t="s">
        <v>104</v>
      </c>
      <c r="D698" t="str" cm="1">
        <f t="array" ref="D698">_xlfn.IFS(OR(LOWER(C698)="f",LOWER(C698)="female"),"Female",TRUE,"Male")</f>
        <v>Male</v>
      </c>
      <c r="E698">
        <v>29</v>
      </c>
      <c r="F698">
        <f t="shared" si="50"/>
        <v>29</v>
      </c>
      <c r="G698" t="s">
        <v>197</v>
      </c>
      <c r="H698" t="s">
        <v>79</v>
      </c>
      <c r="I698" t="s">
        <v>37</v>
      </c>
      <c r="K698" t="str">
        <f t="shared" si="51"/>
        <v>Not Specified</v>
      </c>
      <c r="L698">
        <v>20</v>
      </c>
      <c r="M698" t="str">
        <f t="shared" si="52"/>
        <v>20</v>
      </c>
      <c r="N698">
        <v>0</v>
      </c>
      <c r="O698" s="3" t="str">
        <f t="shared" si="53"/>
        <v>Not Specified</v>
      </c>
      <c r="P698">
        <v>0</v>
      </c>
      <c r="Q698" t="str" cm="1">
        <f t="array" ref="Q698">_xlfn.IFS(ISBLANK(P698),"Not Specified",OR(P698="N",P698=FALSE,P698="no",P698=0),"no",TRUE,"yes")</f>
        <v>no</v>
      </c>
      <c r="R698" s="5">
        <v>0.9</v>
      </c>
      <c r="S698">
        <f t="shared" si="54"/>
        <v>90</v>
      </c>
    </row>
    <row r="699" spans="1:19">
      <c r="A699" t="s">
        <v>1480</v>
      </c>
      <c r="B699" t="s">
        <v>1481</v>
      </c>
      <c r="C699" t="s">
        <v>99</v>
      </c>
      <c r="D699" t="str" cm="1">
        <f t="array" ref="D699">_xlfn.IFS(OR(LOWER(C699)="f",LOWER(C699)="female"),"Female",TRUE,"Male")</f>
        <v>Male</v>
      </c>
      <c r="E699">
        <v>42</v>
      </c>
      <c r="F699">
        <f t="shared" si="50"/>
        <v>42</v>
      </c>
      <c r="G699" t="s">
        <v>119</v>
      </c>
      <c r="H699" t="s">
        <v>120</v>
      </c>
      <c r="I699" t="s">
        <v>80</v>
      </c>
      <c r="J699">
        <v>0</v>
      </c>
      <c r="K699">
        <f t="shared" si="51"/>
        <v>0</v>
      </c>
      <c r="M699" t="str">
        <f t="shared" si="52"/>
        <v>Not Specified</v>
      </c>
      <c r="N699">
        <v>3.9</v>
      </c>
      <c r="O699" s="3">
        <f t="shared" si="53"/>
        <v>3.9</v>
      </c>
      <c r="P699" t="b">
        <v>0</v>
      </c>
      <c r="Q699" t="str" cm="1">
        <f t="array" ref="Q699">_xlfn.IFS(ISBLANK(P699),"Not Specified",OR(P699="N",P699=FALSE,P699="no",P699=0),"no",TRUE,"yes")</f>
        <v>no</v>
      </c>
      <c r="R699" s="5">
        <v>0.62</v>
      </c>
      <c r="S699">
        <f t="shared" si="54"/>
        <v>62</v>
      </c>
    </row>
    <row r="700" spans="1:19">
      <c r="A700" t="s">
        <v>1482</v>
      </c>
      <c r="B700" t="s">
        <v>1483</v>
      </c>
      <c r="C700" t="s">
        <v>21</v>
      </c>
      <c r="D700" t="str" cm="1">
        <f t="array" ref="D700">_xlfn.IFS(OR(LOWER(C700)="f",LOWER(C700)="female"),"Female",TRUE,"Male")</f>
        <v>Female</v>
      </c>
      <c r="E700">
        <v>54</v>
      </c>
      <c r="F700">
        <f t="shared" si="50"/>
        <v>54</v>
      </c>
      <c r="G700" t="s">
        <v>65</v>
      </c>
      <c r="H700" t="s">
        <v>29</v>
      </c>
      <c r="I700" t="s">
        <v>121</v>
      </c>
      <c r="J700">
        <v>9</v>
      </c>
      <c r="K700">
        <f t="shared" si="51"/>
        <v>9</v>
      </c>
      <c r="L700">
        <v>100</v>
      </c>
      <c r="M700" t="str">
        <f t="shared" si="52"/>
        <v>100</v>
      </c>
      <c r="O700" s="3" t="str">
        <f t="shared" si="53"/>
        <v>Not Specified</v>
      </c>
      <c r="P700" t="s">
        <v>38</v>
      </c>
      <c r="Q700" t="str" cm="1">
        <f t="array" ref="Q700">_xlfn.IFS(ISBLANK(P700),"Not Specified",OR(P700="N",P700=FALSE,P700="no",P700=0),"no",TRUE,"yes")</f>
        <v>no</v>
      </c>
      <c r="R700" s="5">
        <v>0.72</v>
      </c>
      <c r="S700">
        <f t="shared" si="54"/>
        <v>72</v>
      </c>
    </row>
    <row r="701" spans="1:19">
      <c r="A701" t="s">
        <v>1484</v>
      </c>
      <c r="B701" t="s">
        <v>1485</v>
      </c>
      <c r="C701" t="s">
        <v>68</v>
      </c>
      <c r="D701" t="str" cm="1">
        <f t="array" ref="D701">_xlfn.IFS(OR(LOWER(C701)="f",LOWER(C701)="female"),"Female",TRUE,"Male")</f>
        <v>Male</v>
      </c>
      <c r="E701">
        <v>56</v>
      </c>
      <c r="F701">
        <f t="shared" si="50"/>
        <v>56</v>
      </c>
      <c r="G701" t="s">
        <v>182</v>
      </c>
      <c r="H701" t="s">
        <v>183</v>
      </c>
      <c r="I701" t="s">
        <v>80</v>
      </c>
      <c r="J701">
        <v>18</v>
      </c>
      <c r="K701">
        <f t="shared" si="51"/>
        <v>18</v>
      </c>
      <c r="L701" t="s">
        <v>105</v>
      </c>
      <c r="M701" t="str">
        <f t="shared" si="52"/>
        <v> 50</v>
      </c>
      <c r="N701">
        <v>4.4</v>
      </c>
      <c r="O701" s="3">
        <f t="shared" si="53"/>
        <v>4.4</v>
      </c>
      <c r="P701" t="s">
        <v>81</v>
      </c>
      <c r="Q701" t="str" cm="1">
        <f t="array" ref="Q701">_xlfn.IFS(ISBLANK(P701),"Not Specified",OR(P701="N",P701=FALSE,P701="no",P701=0),"no",TRUE,"yes")</f>
        <v>yes</v>
      </c>
      <c r="R701" s="5">
        <v>0.83</v>
      </c>
      <c r="S701">
        <f t="shared" si="54"/>
        <v>83</v>
      </c>
    </row>
    <row r="702" spans="1:19">
      <c r="A702" t="s">
        <v>1486</v>
      </c>
      <c r="B702" t="s">
        <v>1487</v>
      </c>
      <c r="C702" t="s">
        <v>21</v>
      </c>
      <c r="D702" t="str" cm="1">
        <f t="array" ref="D702">_xlfn.IFS(OR(LOWER(C702)="f",LOWER(C702)="female"),"Female",TRUE,"Male")</f>
        <v>Female</v>
      </c>
      <c r="E702">
        <v>47</v>
      </c>
      <c r="F702">
        <f t="shared" si="50"/>
        <v>47</v>
      </c>
      <c r="G702" t="s">
        <v>69</v>
      </c>
      <c r="H702" t="s">
        <v>70</v>
      </c>
      <c r="I702" t="s">
        <v>37</v>
      </c>
      <c r="J702">
        <v>22</v>
      </c>
      <c r="K702">
        <f t="shared" si="51"/>
        <v>22</v>
      </c>
      <c r="L702">
        <v>100</v>
      </c>
      <c r="M702" t="str">
        <f t="shared" si="52"/>
        <v>100</v>
      </c>
      <c r="N702">
        <v>4.4</v>
      </c>
      <c r="O702" s="3">
        <f t="shared" si="53"/>
        <v>4.4</v>
      </c>
      <c r="P702" t="s">
        <v>166</v>
      </c>
      <c r="Q702" t="str" cm="1">
        <f t="array" ref="Q702">_xlfn.IFS(ISBLANK(P702),"Not Specified",OR(P702="N",P702=FALSE,P702="no",P702=0),"no",TRUE,"yes")</f>
        <v>no</v>
      </c>
      <c r="R702" s="5">
        <v>0.7</v>
      </c>
      <c r="S702">
        <f t="shared" si="54"/>
        <v>70</v>
      </c>
    </row>
    <row r="703" spans="1:19">
      <c r="A703" t="s">
        <v>1488</v>
      </c>
      <c r="B703" t="s">
        <v>1489</v>
      </c>
      <c r="C703" t="s">
        <v>55</v>
      </c>
      <c r="D703" t="str" cm="1">
        <f t="array" ref="D703">_xlfn.IFS(OR(LOWER(C703)="f",LOWER(C703)="female"),"Female",TRUE,"Male")</f>
        <v>Male</v>
      </c>
      <c r="E703">
        <v>45</v>
      </c>
      <c r="F703">
        <f t="shared" si="50"/>
        <v>45</v>
      </c>
      <c r="G703" t="s">
        <v>131</v>
      </c>
      <c r="H703" t="s">
        <v>132</v>
      </c>
      <c r="I703" t="s">
        <v>24</v>
      </c>
      <c r="J703">
        <v>25</v>
      </c>
      <c r="K703">
        <f t="shared" si="51"/>
        <v>25</v>
      </c>
      <c r="L703">
        <v>50</v>
      </c>
      <c r="M703" t="str">
        <f t="shared" si="52"/>
        <v>50</v>
      </c>
      <c r="N703">
        <v>0</v>
      </c>
      <c r="O703" s="3" t="str">
        <f t="shared" si="53"/>
        <v>Not Specified</v>
      </c>
      <c r="P703" t="s">
        <v>166</v>
      </c>
      <c r="Q703" t="str" cm="1">
        <f t="array" ref="Q703">_xlfn.IFS(ISBLANK(P703),"Not Specified",OR(P703="N",P703=FALSE,P703="no",P703=0),"no",TRUE,"yes")</f>
        <v>no</v>
      </c>
      <c r="R703">
        <v>99</v>
      </c>
      <c r="S703">
        <f t="shared" si="54"/>
        <v>99</v>
      </c>
    </row>
    <row r="704" spans="1:19">
      <c r="A704" t="s">
        <v>1490</v>
      </c>
      <c r="B704" t="s">
        <v>1491</v>
      </c>
      <c r="C704" t="s">
        <v>99</v>
      </c>
      <c r="D704" t="str" cm="1">
        <f t="array" ref="D704">_xlfn.IFS(OR(LOWER(C704)="f",LOWER(C704)="female"),"Female",TRUE,"Male")</f>
        <v>Male</v>
      </c>
      <c r="E704">
        <v>45</v>
      </c>
      <c r="F704">
        <f t="shared" si="50"/>
        <v>45</v>
      </c>
      <c r="G704" t="s">
        <v>182</v>
      </c>
      <c r="H704" t="s">
        <v>183</v>
      </c>
      <c r="I704" t="s">
        <v>58</v>
      </c>
      <c r="J704">
        <v>6</v>
      </c>
      <c r="K704">
        <f t="shared" si="51"/>
        <v>6</v>
      </c>
      <c r="L704">
        <v>50</v>
      </c>
      <c r="M704" t="str">
        <f t="shared" si="52"/>
        <v>50</v>
      </c>
      <c r="N704">
        <v>1.4</v>
      </c>
      <c r="O704" s="3">
        <f t="shared" si="53"/>
        <v>1.4</v>
      </c>
      <c r="Q704" t="str" cm="1">
        <f t="array" ref="Q704">_xlfn.IFS(ISBLANK(P704),"Not Specified",OR(P704="N",P704=FALSE,P704="no",P704=0),"no",TRUE,"yes")</f>
        <v>Not Specified</v>
      </c>
      <c r="R704">
        <v>97</v>
      </c>
      <c r="S704">
        <f t="shared" si="54"/>
        <v>97</v>
      </c>
    </row>
    <row r="705" spans="1:19">
      <c r="A705" t="s">
        <v>1492</v>
      </c>
      <c r="B705" t="s">
        <v>1493</v>
      </c>
      <c r="C705" t="s">
        <v>99</v>
      </c>
      <c r="D705" t="str" cm="1">
        <f t="array" ref="D705">_xlfn.IFS(OR(LOWER(C705)="f",LOWER(C705)="female"),"Female",TRUE,"Male")</f>
        <v>Male</v>
      </c>
      <c r="E705">
        <v>35</v>
      </c>
      <c r="F705">
        <f t="shared" si="50"/>
        <v>35</v>
      </c>
      <c r="G705" t="s">
        <v>135</v>
      </c>
      <c r="H705" t="s">
        <v>29</v>
      </c>
      <c r="I705" t="s">
        <v>121</v>
      </c>
      <c r="J705">
        <v>10</v>
      </c>
      <c r="K705">
        <f t="shared" si="51"/>
        <v>10</v>
      </c>
      <c r="L705">
        <v>20</v>
      </c>
      <c r="M705" t="str">
        <f t="shared" si="52"/>
        <v>20</v>
      </c>
      <c r="N705">
        <v>3.2</v>
      </c>
      <c r="O705" s="3">
        <f t="shared" si="53"/>
        <v>3.2</v>
      </c>
      <c r="P705" t="b">
        <v>1</v>
      </c>
      <c r="Q705" t="str" cm="1">
        <f t="array" ref="Q705">_xlfn.IFS(ISBLANK(P705),"Not Specified",OR(P705="N",P705=FALSE,P705="no",P705=0),"no",TRUE,"yes")</f>
        <v>yes</v>
      </c>
      <c r="R705" s="5">
        <v>0.77</v>
      </c>
      <c r="S705">
        <f t="shared" si="54"/>
        <v>77</v>
      </c>
    </row>
    <row r="706" spans="1:19">
      <c r="A706" t="s">
        <v>1494</v>
      </c>
      <c r="B706" t="s">
        <v>1495</v>
      </c>
      <c r="C706" t="s">
        <v>34</v>
      </c>
      <c r="D706" t="str" cm="1">
        <f t="array" ref="D706">_xlfn.IFS(OR(LOWER(C706)="f",LOWER(C706)="female"),"Female",TRUE,"Male")</f>
        <v>Male</v>
      </c>
      <c r="E706">
        <v>51</v>
      </c>
      <c r="F706">
        <f t="shared" si="50"/>
        <v>51</v>
      </c>
      <c r="G706" t="s">
        <v>135</v>
      </c>
      <c r="H706" t="s">
        <v>29</v>
      </c>
      <c r="I706" t="s">
        <v>96</v>
      </c>
      <c r="J706">
        <v>4</v>
      </c>
      <c r="K706">
        <f t="shared" si="51"/>
        <v>4</v>
      </c>
      <c r="L706" t="s">
        <v>105</v>
      </c>
      <c r="M706" t="str">
        <f t="shared" si="52"/>
        <v> 50</v>
      </c>
      <c r="N706">
        <v>2</v>
      </c>
      <c r="O706" s="3">
        <f t="shared" si="53"/>
        <v>2</v>
      </c>
      <c r="P706" t="s">
        <v>166</v>
      </c>
      <c r="Q706" t="str" cm="1">
        <f t="array" ref="Q706">_xlfn.IFS(ISBLANK(P706),"Not Specified",OR(P706="N",P706=FALSE,P706="no",P706=0),"no",TRUE,"yes")</f>
        <v>no</v>
      </c>
      <c r="R706" s="5">
        <v>0.92</v>
      </c>
      <c r="S706">
        <f t="shared" si="54"/>
        <v>92</v>
      </c>
    </row>
    <row r="707" spans="1:19">
      <c r="A707" t="s">
        <v>1496</v>
      </c>
      <c r="B707" t="s">
        <v>1497</v>
      </c>
      <c r="C707" t="s">
        <v>41</v>
      </c>
      <c r="D707" t="str" cm="1">
        <f t="array" ref="D707">_xlfn.IFS(OR(LOWER(C707)="f",LOWER(C707)="female"),"Female",TRUE,"Male")</f>
        <v>Female</v>
      </c>
      <c r="E707">
        <v>34</v>
      </c>
      <c r="F707">
        <f t="shared" ref="F707:F770" si="55">IF(ISNUMBER(E707),E707,"Not Specified")</f>
        <v>34</v>
      </c>
      <c r="G707" t="s">
        <v>197</v>
      </c>
      <c r="H707" t="s">
        <v>79</v>
      </c>
      <c r="I707" t="s">
        <v>30</v>
      </c>
      <c r="J707">
        <v>11</v>
      </c>
      <c r="K707">
        <f t="shared" ref="K707:K770" si="56">IF(ISNUMBER(J707),J707,"Not Specified")</f>
        <v>11</v>
      </c>
      <c r="L707">
        <v>50</v>
      </c>
      <c r="M707" t="str">
        <f t="shared" ref="M707:M770" si="57">IF(SUBSTITUTE(SUBSTITUTE(L707,"USD",""),"$","")="","Not Specified",SUBSTITUTE(SUBSTITUTE(L707,"USD",""),"$",""))</f>
        <v>50</v>
      </c>
      <c r="N707">
        <v>3.3</v>
      </c>
      <c r="O707" s="3">
        <f t="shared" ref="O707:O770" si="58">IF(OR(N707="",N707=0),"Not Specified",N707)</f>
        <v>3.3</v>
      </c>
      <c r="P707" t="s">
        <v>75</v>
      </c>
      <c r="Q707" t="str" cm="1">
        <f t="array" ref="Q707">_xlfn.IFS(ISBLANK(P707),"Not Specified",OR(P707="N",P707=FALSE,P707="no",P707=0),"no",TRUE,"yes")</f>
        <v>yes</v>
      </c>
      <c r="R707" s="5">
        <v>0.76</v>
      </c>
      <c r="S707">
        <f t="shared" ref="S707:S770" si="59">IF(ISBLANK(R707),"Not Specified",IF(R707&lt;=1,R707*100,R707))</f>
        <v>76</v>
      </c>
    </row>
    <row r="708" spans="1:19">
      <c r="A708" t="s">
        <v>1498</v>
      </c>
      <c r="B708" t="s">
        <v>1499</v>
      </c>
      <c r="C708" t="s">
        <v>27</v>
      </c>
      <c r="D708" t="str" cm="1">
        <f t="array" ref="D708">_xlfn.IFS(OR(LOWER(C708)="f",LOWER(C708)="female"),"Female",TRUE,"Male")</f>
        <v>Female</v>
      </c>
      <c r="E708">
        <v>51</v>
      </c>
      <c r="F708">
        <f t="shared" si="55"/>
        <v>51</v>
      </c>
      <c r="G708" t="s">
        <v>56</v>
      </c>
      <c r="H708" t="s">
        <v>57</v>
      </c>
      <c r="I708" t="s">
        <v>37</v>
      </c>
      <c r="J708">
        <v>1</v>
      </c>
      <c r="K708">
        <f t="shared" si="56"/>
        <v>1</v>
      </c>
      <c r="L708" t="s">
        <v>71</v>
      </c>
      <c r="M708" t="str">
        <f t="shared" si="57"/>
        <v>50</v>
      </c>
      <c r="N708">
        <v>0</v>
      </c>
      <c r="O708" s="3" t="str">
        <f t="shared" si="58"/>
        <v>Not Specified</v>
      </c>
      <c r="P708" t="s">
        <v>81</v>
      </c>
      <c r="Q708" t="str" cm="1">
        <f t="array" ref="Q708">_xlfn.IFS(ISBLANK(P708),"Not Specified",OR(P708="N",P708=FALSE,P708="no",P708=0),"no",TRUE,"yes")</f>
        <v>yes</v>
      </c>
      <c r="R708" s="5">
        <v>0.97</v>
      </c>
      <c r="S708">
        <f t="shared" si="59"/>
        <v>97</v>
      </c>
    </row>
    <row r="709" spans="1:19">
      <c r="A709" t="s">
        <v>1500</v>
      </c>
      <c r="B709" t="s">
        <v>1501</v>
      </c>
      <c r="C709" t="s">
        <v>99</v>
      </c>
      <c r="D709" t="str" cm="1">
        <f t="array" ref="D709">_xlfn.IFS(OR(LOWER(C709)="f",LOWER(C709)="female"),"Female",TRUE,"Male")</f>
        <v>Male</v>
      </c>
      <c r="E709">
        <v>58</v>
      </c>
      <c r="F709">
        <f t="shared" si="55"/>
        <v>58</v>
      </c>
      <c r="G709" t="s">
        <v>146</v>
      </c>
      <c r="H709" t="s">
        <v>147</v>
      </c>
      <c r="I709" t="s">
        <v>37</v>
      </c>
      <c r="J709">
        <v>35</v>
      </c>
      <c r="K709">
        <f t="shared" si="56"/>
        <v>35</v>
      </c>
      <c r="L709" t="s">
        <v>31</v>
      </c>
      <c r="M709" t="str">
        <f t="shared" si="57"/>
        <v> 100</v>
      </c>
      <c r="N709">
        <v>2.3</v>
      </c>
      <c r="O709" s="3">
        <f t="shared" si="58"/>
        <v>2.3</v>
      </c>
      <c r="P709" t="s">
        <v>81</v>
      </c>
      <c r="Q709" t="str" cm="1">
        <f t="array" ref="Q709">_xlfn.IFS(ISBLANK(P709),"Not Specified",OR(P709="N",P709=FALSE,P709="no",P709=0),"no",TRUE,"yes")</f>
        <v>yes</v>
      </c>
      <c r="S709" t="str">
        <f t="shared" si="59"/>
        <v>Not Specified</v>
      </c>
    </row>
    <row r="710" spans="1:19">
      <c r="A710" t="s">
        <v>1502</v>
      </c>
      <c r="B710" t="s">
        <v>1503</v>
      </c>
      <c r="C710" t="s">
        <v>21</v>
      </c>
      <c r="D710" t="str" cm="1">
        <f t="array" ref="D710">_xlfn.IFS(OR(LOWER(C710)="f",LOWER(C710)="female"),"Female",TRUE,"Male")</f>
        <v>Female</v>
      </c>
      <c r="E710">
        <v>36</v>
      </c>
      <c r="F710">
        <f t="shared" si="55"/>
        <v>36</v>
      </c>
      <c r="G710" t="s">
        <v>49</v>
      </c>
      <c r="H710" t="s">
        <v>50</v>
      </c>
      <c r="I710" t="s">
        <v>42</v>
      </c>
      <c r="J710">
        <v>17</v>
      </c>
      <c r="K710">
        <f t="shared" si="56"/>
        <v>17</v>
      </c>
      <c r="L710" t="s">
        <v>128</v>
      </c>
      <c r="M710" t="str">
        <f t="shared" si="57"/>
        <v>20</v>
      </c>
      <c r="N710">
        <v>0</v>
      </c>
      <c r="O710" s="3" t="str">
        <f t="shared" si="58"/>
        <v>Not Specified</v>
      </c>
      <c r="P710">
        <v>1</v>
      </c>
      <c r="Q710" t="str" cm="1">
        <f t="array" ref="Q710">_xlfn.IFS(ISBLANK(P710),"Not Specified",OR(P710="N",P710=FALSE,P710="no",P710=0),"no",TRUE,"yes")</f>
        <v>yes</v>
      </c>
      <c r="R710">
        <v>99</v>
      </c>
      <c r="S710">
        <f t="shared" si="59"/>
        <v>99</v>
      </c>
    </row>
    <row r="711" spans="1:19">
      <c r="A711" t="s">
        <v>1504</v>
      </c>
      <c r="B711" t="s">
        <v>1505</v>
      </c>
      <c r="C711" t="s">
        <v>68</v>
      </c>
      <c r="D711" t="str" cm="1">
        <f t="array" ref="D711">_xlfn.IFS(OR(LOWER(C711)="f",LOWER(C711)="female"),"Female",TRUE,"Male")</f>
        <v>Male</v>
      </c>
      <c r="F711" t="str">
        <f t="shared" si="55"/>
        <v>Not Specified</v>
      </c>
      <c r="G711" t="s">
        <v>131</v>
      </c>
      <c r="H711" t="s">
        <v>132</v>
      </c>
      <c r="I711" t="s">
        <v>51</v>
      </c>
      <c r="J711">
        <v>12</v>
      </c>
      <c r="K711">
        <f t="shared" si="56"/>
        <v>12</v>
      </c>
      <c r="L711">
        <v>30</v>
      </c>
      <c r="M711" t="str">
        <f t="shared" si="57"/>
        <v>30</v>
      </c>
      <c r="N711">
        <v>2.6</v>
      </c>
      <c r="O711" s="3">
        <f t="shared" si="58"/>
        <v>2.6</v>
      </c>
      <c r="P711" t="s">
        <v>81</v>
      </c>
      <c r="Q711" t="str" cm="1">
        <f t="array" ref="Q711">_xlfn.IFS(ISBLANK(P711),"Not Specified",OR(P711="N",P711=FALSE,P711="no",P711=0),"no",TRUE,"yes")</f>
        <v>yes</v>
      </c>
      <c r="S711" t="str">
        <f t="shared" si="59"/>
        <v>Not Specified</v>
      </c>
    </row>
    <row r="712" spans="1:19">
      <c r="A712" t="s">
        <v>1506</v>
      </c>
      <c r="B712" t="s">
        <v>1507</v>
      </c>
      <c r="C712" t="s">
        <v>99</v>
      </c>
      <c r="D712" t="str" cm="1">
        <f t="array" ref="D712">_xlfn.IFS(OR(LOWER(C712)="f",LOWER(C712)="female"),"Female",TRUE,"Male")</f>
        <v>Male</v>
      </c>
      <c r="E712">
        <v>56</v>
      </c>
      <c r="F712">
        <f t="shared" si="55"/>
        <v>56</v>
      </c>
      <c r="G712" t="s">
        <v>160</v>
      </c>
      <c r="H712" t="s">
        <v>161</v>
      </c>
      <c r="I712" t="s">
        <v>121</v>
      </c>
      <c r="J712">
        <v>30</v>
      </c>
      <c r="K712">
        <f t="shared" si="56"/>
        <v>30</v>
      </c>
      <c r="L712">
        <v>40</v>
      </c>
      <c r="M712" t="str">
        <f t="shared" si="57"/>
        <v>40</v>
      </c>
      <c r="N712">
        <v>3.3</v>
      </c>
      <c r="O712" s="3">
        <f t="shared" si="58"/>
        <v>3.3</v>
      </c>
      <c r="P712" t="s">
        <v>75</v>
      </c>
      <c r="Q712" t="str" cm="1">
        <f t="array" ref="Q712">_xlfn.IFS(ISBLANK(P712),"Not Specified",OR(P712="N",P712=FALSE,P712="no",P712=0),"no",TRUE,"yes")</f>
        <v>yes</v>
      </c>
      <c r="R712" s="5">
        <v>0.82</v>
      </c>
      <c r="S712">
        <f t="shared" si="59"/>
        <v>82</v>
      </c>
    </row>
    <row r="713" spans="1:19">
      <c r="A713" t="s">
        <v>1508</v>
      </c>
      <c r="B713" t="s">
        <v>1509</v>
      </c>
      <c r="C713" t="s">
        <v>21</v>
      </c>
      <c r="D713" t="str" cm="1">
        <f t="array" ref="D713">_xlfn.IFS(OR(LOWER(C713)="f",LOWER(C713)="female"),"Female",TRUE,"Male")</f>
        <v>Female</v>
      </c>
      <c r="E713">
        <v>58</v>
      </c>
      <c r="F713">
        <f t="shared" si="55"/>
        <v>58</v>
      </c>
      <c r="G713" t="s">
        <v>135</v>
      </c>
      <c r="H713" t="s">
        <v>29</v>
      </c>
      <c r="I713" t="s">
        <v>85</v>
      </c>
      <c r="J713">
        <v>20</v>
      </c>
      <c r="K713">
        <f t="shared" si="56"/>
        <v>20</v>
      </c>
      <c r="L713">
        <v>75</v>
      </c>
      <c r="M713" t="str">
        <f t="shared" si="57"/>
        <v>75</v>
      </c>
      <c r="N713">
        <v>3.6</v>
      </c>
      <c r="O713" s="3">
        <f t="shared" si="58"/>
        <v>3.6</v>
      </c>
      <c r="P713" t="s">
        <v>75</v>
      </c>
      <c r="Q713" t="str" cm="1">
        <f t="array" ref="Q713">_xlfn.IFS(ISBLANK(P713),"Not Specified",OR(P713="N",P713=FALSE,P713="no",P713=0),"no",TRUE,"yes")</f>
        <v>yes</v>
      </c>
      <c r="R713" s="5">
        <v>0.78</v>
      </c>
      <c r="S713">
        <f t="shared" si="59"/>
        <v>78</v>
      </c>
    </row>
    <row r="714" spans="1:19">
      <c r="A714" t="s">
        <v>1510</v>
      </c>
      <c r="B714" t="s">
        <v>1511</v>
      </c>
      <c r="C714" t="s">
        <v>21</v>
      </c>
      <c r="D714" t="str" cm="1">
        <f t="array" ref="D714">_xlfn.IFS(OR(LOWER(C714)="f",LOWER(C714)="female"),"Female",TRUE,"Male")</f>
        <v>Female</v>
      </c>
      <c r="E714">
        <v>58</v>
      </c>
      <c r="F714">
        <f t="shared" si="55"/>
        <v>58</v>
      </c>
      <c r="G714" t="s">
        <v>65</v>
      </c>
      <c r="H714" t="s">
        <v>29</v>
      </c>
      <c r="I714" t="s">
        <v>85</v>
      </c>
      <c r="J714">
        <v>22</v>
      </c>
      <c r="K714">
        <f t="shared" si="56"/>
        <v>22</v>
      </c>
      <c r="L714">
        <v>100</v>
      </c>
      <c r="M714" t="str">
        <f t="shared" si="57"/>
        <v>100</v>
      </c>
      <c r="N714">
        <v>3.7</v>
      </c>
      <c r="O714" s="3">
        <f t="shared" si="58"/>
        <v>3.7</v>
      </c>
      <c r="P714">
        <v>0</v>
      </c>
      <c r="Q714" t="str" cm="1">
        <f t="array" ref="Q714">_xlfn.IFS(ISBLANK(P714),"Not Specified",OR(P714="N",P714=FALSE,P714="no",P714=0),"no",TRUE,"yes")</f>
        <v>no</v>
      </c>
      <c r="S714" t="str">
        <f t="shared" si="59"/>
        <v>Not Specified</v>
      </c>
    </row>
    <row r="715" spans="1:19">
      <c r="A715" t="s">
        <v>1512</v>
      </c>
      <c r="B715" t="s">
        <v>1513</v>
      </c>
      <c r="C715" t="s">
        <v>41</v>
      </c>
      <c r="D715" t="str" cm="1">
        <f t="array" ref="D715">_xlfn.IFS(OR(LOWER(C715)="f",LOWER(C715)="female"),"Female",TRUE,"Male")</f>
        <v>Female</v>
      </c>
      <c r="E715">
        <v>54</v>
      </c>
      <c r="F715">
        <f t="shared" si="55"/>
        <v>54</v>
      </c>
      <c r="G715" t="s">
        <v>74</v>
      </c>
      <c r="H715" t="s">
        <v>29</v>
      </c>
      <c r="I715" t="s">
        <v>51</v>
      </c>
      <c r="J715">
        <v>32</v>
      </c>
      <c r="K715">
        <f t="shared" si="56"/>
        <v>32</v>
      </c>
      <c r="L715" t="s">
        <v>128</v>
      </c>
      <c r="M715" t="str">
        <f t="shared" si="57"/>
        <v>20</v>
      </c>
      <c r="N715">
        <v>3.4</v>
      </c>
      <c r="O715" s="3">
        <f t="shared" si="58"/>
        <v>3.4</v>
      </c>
      <c r="P715" t="s">
        <v>166</v>
      </c>
      <c r="Q715" t="str" cm="1">
        <f t="array" ref="Q715">_xlfn.IFS(ISBLANK(P715),"Not Specified",OR(P715="N",P715=FALSE,P715="no",P715=0),"no",TRUE,"yes")</f>
        <v>no</v>
      </c>
      <c r="S715" t="str">
        <f t="shared" si="59"/>
        <v>Not Specified</v>
      </c>
    </row>
    <row r="716" spans="1:19">
      <c r="A716" t="s">
        <v>1514</v>
      </c>
      <c r="B716" t="s">
        <v>1515</v>
      </c>
      <c r="C716" t="s">
        <v>34</v>
      </c>
      <c r="D716" t="str" cm="1">
        <f t="array" ref="D716">_xlfn.IFS(OR(LOWER(C716)="f",LOWER(C716)="female"),"Female",TRUE,"Male")</f>
        <v>Male</v>
      </c>
      <c r="E716">
        <v>53</v>
      </c>
      <c r="F716">
        <f t="shared" si="55"/>
        <v>53</v>
      </c>
      <c r="G716" t="s">
        <v>28</v>
      </c>
      <c r="H716" t="s">
        <v>29</v>
      </c>
      <c r="I716" t="s">
        <v>80</v>
      </c>
      <c r="J716">
        <v>9</v>
      </c>
      <c r="K716">
        <f t="shared" si="56"/>
        <v>9</v>
      </c>
      <c r="L716">
        <v>50</v>
      </c>
      <c r="M716" t="str">
        <f t="shared" si="57"/>
        <v>50</v>
      </c>
      <c r="N716">
        <v>4</v>
      </c>
      <c r="O716" s="3">
        <f t="shared" si="58"/>
        <v>4</v>
      </c>
      <c r="P716" t="s">
        <v>81</v>
      </c>
      <c r="Q716" t="str" cm="1">
        <f t="array" ref="Q716">_xlfn.IFS(ISBLANK(P716),"Not Specified",OR(P716="N",P716=FALSE,P716="no",P716=0),"no",TRUE,"yes")</f>
        <v>yes</v>
      </c>
      <c r="R716" s="5">
        <v>0.72</v>
      </c>
      <c r="S716">
        <f t="shared" si="59"/>
        <v>72</v>
      </c>
    </row>
    <row r="717" spans="1:19">
      <c r="A717" t="s">
        <v>1516</v>
      </c>
      <c r="B717" t="s">
        <v>1517</v>
      </c>
      <c r="C717" t="s">
        <v>84</v>
      </c>
      <c r="D717" t="str" cm="1">
        <f t="array" ref="D717">_xlfn.IFS(OR(LOWER(C717)="f",LOWER(C717)="female"),"Female",TRUE,"Male")</f>
        <v>Female</v>
      </c>
      <c r="E717">
        <v>43</v>
      </c>
      <c r="F717">
        <f t="shared" si="55"/>
        <v>43</v>
      </c>
      <c r="G717" t="s">
        <v>28</v>
      </c>
      <c r="H717" t="s">
        <v>29</v>
      </c>
      <c r="I717" t="s">
        <v>42</v>
      </c>
      <c r="J717">
        <v>22</v>
      </c>
      <c r="K717">
        <f t="shared" si="56"/>
        <v>22</v>
      </c>
      <c r="L717">
        <v>40</v>
      </c>
      <c r="M717" t="str">
        <f t="shared" si="57"/>
        <v>40</v>
      </c>
      <c r="N717">
        <v>4.5</v>
      </c>
      <c r="O717" s="3">
        <f t="shared" si="58"/>
        <v>4.5</v>
      </c>
      <c r="Q717" t="str" cm="1">
        <f t="array" ref="Q717">_xlfn.IFS(ISBLANK(P717),"Not Specified",OR(P717="N",P717=FALSE,P717="no",P717=0),"no",TRUE,"yes")</f>
        <v>Not Specified</v>
      </c>
      <c r="S717" t="str">
        <f t="shared" si="59"/>
        <v>Not Specified</v>
      </c>
    </row>
    <row r="718" spans="1:19">
      <c r="A718" t="s">
        <v>1518</v>
      </c>
      <c r="B718" t="s">
        <v>1519</v>
      </c>
      <c r="C718" t="s">
        <v>99</v>
      </c>
      <c r="D718" t="str" cm="1">
        <f t="array" ref="D718">_xlfn.IFS(OR(LOWER(C718)="f",LOWER(C718)="female"),"Female",TRUE,"Male")</f>
        <v>Male</v>
      </c>
      <c r="E718">
        <v>44</v>
      </c>
      <c r="F718">
        <f t="shared" si="55"/>
        <v>44</v>
      </c>
      <c r="G718" t="s">
        <v>119</v>
      </c>
      <c r="H718" t="s">
        <v>120</v>
      </c>
      <c r="I718" t="s">
        <v>121</v>
      </c>
      <c r="J718">
        <v>1</v>
      </c>
      <c r="K718">
        <f t="shared" si="56"/>
        <v>1</v>
      </c>
      <c r="L718">
        <v>75</v>
      </c>
      <c r="M718" t="str">
        <f t="shared" si="57"/>
        <v>75</v>
      </c>
      <c r="N718">
        <v>4.3</v>
      </c>
      <c r="O718" s="3">
        <f t="shared" si="58"/>
        <v>4.3</v>
      </c>
      <c r="P718">
        <v>1</v>
      </c>
      <c r="Q718" t="str" cm="1">
        <f t="array" ref="Q718">_xlfn.IFS(ISBLANK(P718),"Not Specified",OR(P718="N",P718=FALSE,P718="no",P718=0),"no",TRUE,"yes")</f>
        <v>yes</v>
      </c>
      <c r="S718" t="str">
        <f t="shared" si="59"/>
        <v>Not Specified</v>
      </c>
    </row>
    <row r="719" spans="1:19">
      <c r="A719" t="s">
        <v>1520</v>
      </c>
      <c r="B719" t="s">
        <v>1521</v>
      </c>
      <c r="C719" t="s">
        <v>99</v>
      </c>
      <c r="D719" t="str" cm="1">
        <f t="array" ref="D719">_xlfn.IFS(OR(LOWER(C719)="f",LOWER(C719)="female"),"Female",TRUE,"Male")</f>
        <v>Male</v>
      </c>
      <c r="E719">
        <v>34</v>
      </c>
      <c r="F719">
        <f t="shared" si="55"/>
        <v>34</v>
      </c>
      <c r="G719" t="s">
        <v>135</v>
      </c>
      <c r="H719" t="s">
        <v>29</v>
      </c>
      <c r="I719" t="s">
        <v>85</v>
      </c>
      <c r="J719">
        <v>4</v>
      </c>
      <c r="K719">
        <f t="shared" si="56"/>
        <v>4</v>
      </c>
      <c r="L719">
        <v>75</v>
      </c>
      <c r="M719" t="str">
        <f t="shared" si="57"/>
        <v>75</v>
      </c>
      <c r="N719">
        <v>4</v>
      </c>
      <c r="O719" s="3">
        <f t="shared" si="58"/>
        <v>4</v>
      </c>
      <c r="P719">
        <v>1</v>
      </c>
      <c r="Q719" t="str" cm="1">
        <f t="array" ref="Q719">_xlfn.IFS(ISBLANK(P719),"Not Specified",OR(P719="N",P719=FALSE,P719="no",P719=0),"no",TRUE,"yes")</f>
        <v>yes</v>
      </c>
      <c r="S719" t="str">
        <f t="shared" si="59"/>
        <v>Not Specified</v>
      </c>
    </row>
    <row r="720" spans="1:19">
      <c r="A720" t="s">
        <v>1522</v>
      </c>
      <c r="B720" t="s">
        <v>1523</v>
      </c>
      <c r="C720" t="s">
        <v>46</v>
      </c>
      <c r="D720" t="str" cm="1">
        <f t="array" ref="D720">_xlfn.IFS(OR(LOWER(C720)="f",LOWER(C720)="female"),"Female",TRUE,"Male")</f>
        <v>Female</v>
      </c>
      <c r="E720">
        <v>27</v>
      </c>
      <c r="F720">
        <f t="shared" si="55"/>
        <v>27</v>
      </c>
      <c r="G720" t="s">
        <v>114</v>
      </c>
      <c r="H720" t="s">
        <v>115</v>
      </c>
      <c r="I720" t="s">
        <v>30</v>
      </c>
      <c r="J720">
        <v>8</v>
      </c>
      <c r="K720">
        <f t="shared" si="56"/>
        <v>8</v>
      </c>
      <c r="L720" t="s">
        <v>71</v>
      </c>
      <c r="M720" t="str">
        <f t="shared" si="57"/>
        <v>50</v>
      </c>
      <c r="N720">
        <v>1.6</v>
      </c>
      <c r="O720" s="3">
        <f t="shared" si="58"/>
        <v>1.6</v>
      </c>
      <c r="P720" t="s">
        <v>75</v>
      </c>
      <c r="Q720" t="str" cm="1">
        <f t="array" ref="Q720">_xlfn.IFS(ISBLANK(P720),"Not Specified",OR(P720="N",P720=FALSE,P720="no",P720=0),"no",TRUE,"yes")</f>
        <v>yes</v>
      </c>
      <c r="S720" t="str">
        <f t="shared" si="59"/>
        <v>Not Specified</v>
      </c>
    </row>
    <row r="721" spans="1:19">
      <c r="A721" t="s">
        <v>1524</v>
      </c>
      <c r="B721" t="s">
        <v>1525</v>
      </c>
      <c r="C721" t="s">
        <v>55</v>
      </c>
      <c r="D721" t="str" cm="1">
        <f t="array" ref="D721">_xlfn.IFS(OR(LOWER(C721)="f",LOWER(C721)="female"),"Female",TRUE,"Male")</f>
        <v>Male</v>
      </c>
      <c r="E721">
        <v>50</v>
      </c>
      <c r="F721">
        <f t="shared" si="55"/>
        <v>50</v>
      </c>
      <c r="G721" t="s">
        <v>92</v>
      </c>
      <c r="H721" t="s">
        <v>93</v>
      </c>
      <c r="I721" t="s">
        <v>58</v>
      </c>
      <c r="J721">
        <v>3</v>
      </c>
      <c r="K721">
        <f t="shared" si="56"/>
        <v>3</v>
      </c>
      <c r="L721">
        <v>100</v>
      </c>
      <c r="M721" t="str">
        <f t="shared" si="57"/>
        <v>100</v>
      </c>
      <c r="N721">
        <v>0</v>
      </c>
      <c r="O721" s="3" t="str">
        <f t="shared" si="58"/>
        <v>Not Specified</v>
      </c>
      <c r="P721" t="s">
        <v>81</v>
      </c>
      <c r="Q721" t="str" cm="1">
        <f t="array" ref="Q721">_xlfn.IFS(ISBLANK(P721),"Not Specified",OR(P721="N",P721=FALSE,P721="no",P721=0),"no",TRUE,"yes")</f>
        <v>yes</v>
      </c>
      <c r="S721" t="str">
        <f t="shared" si="59"/>
        <v>Not Specified</v>
      </c>
    </row>
    <row r="722" spans="1:19">
      <c r="A722" t="s">
        <v>1526</v>
      </c>
      <c r="B722" t="s">
        <v>1527</v>
      </c>
      <c r="C722" t="s">
        <v>46</v>
      </c>
      <c r="D722" t="str" cm="1">
        <f t="array" ref="D722">_xlfn.IFS(OR(LOWER(C722)="f",LOWER(C722)="female"),"Female",TRUE,"Male")</f>
        <v>Female</v>
      </c>
      <c r="E722">
        <v>52</v>
      </c>
      <c r="F722">
        <f t="shared" si="55"/>
        <v>52</v>
      </c>
      <c r="G722" t="s">
        <v>119</v>
      </c>
      <c r="H722" t="s">
        <v>120</v>
      </c>
      <c r="I722" t="s">
        <v>80</v>
      </c>
      <c r="J722">
        <v>30</v>
      </c>
      <c r="K722">
        <f t="shared" si="56"/>
        <v>30</v>
      </c>
      <c r="L722">
        <v>75</v>
      </c>
      <c r="M722" t="str">
        <f t="shared" si="57"/>
        <v>75</v>
      </c>
      <c r="O722" s="3" t="str">
        <f t="shared" si="58"/>
        <v>Not Specified</v>
      </c>
      <c r="P722" t="s">
        <v>166</v>
      </c>
      <c r="Q722" t="str" cm="1">
        <f t="array" ref="Q722">_xlfn.IFS(ISBLANK(P722),"Not Specified",OR(P722="N",P722=FALSE,P722="no",P722=0),"no",TRUE,"yes")</f>
        <v>no</v>
      </c>
      <c r="R722" s="5">
        <v>0.94</v>
      </c>
      <c r="S722">
        <f t="shared" si="59"/>
        <v>94</v>
      </c>
    </row>
    <row r="723" spans="1:19">
      <c r="A723" t="s">
        <v>1528</v>
      </c>
      <c r="B723" t="s">
        <v>1529</v>
      </c>
      <c r="C723" t="s">
        <v>68</v>
      </c>
      <c r="D723" t="str" cm="1">
        <f t="array" ref="D723">_xlfn.IFS(OR(LOWER(C723)="f",LOWER(C723)="female"),"Female",TRUE,"Male")</f>
        <v>Male</v>
      </c>
      <c r="E723">
        <v>57</v>
      </c>
      <c r="F723">
        <f t="shared" si="55"/>
        <v>57</v>
      </c>
      <c r="G723" t="s">
        <v>197</v>
      </c>
      <c r="H723" t="s">
        <v>79</v>
      </c>
      <c r="I723" t="s">
        <v>24</v>
      </c>
      <c r="J723">
        <v>11</v>
      </c>
      <c r="K723">
        <f t="shared" si="56"/>
        <v>11</v>
      </c>
      <c r="L723" t="s">
        <v>321</v>
      </c>
      <c r="M723" t="str">
        <f t="shared" si="57"/>
        <v> 20</v>
      </c>
      <c r="N723">
        <v>4.9</v>
      </c>
      <c r="O723" s="3">
        <f t="shared" si="58"/>
        <v>4.9</v>
      </c>
      <c r="P723" t="s">
        <v>81</v>
      </c>
      <c r="Q723" t="str" cm="1">
        <f t="array" ref="Q723">_xlfn.IFS(ISBLANK(P723),"Not Specified",OR(P723="N",P723=FALSE,P723="no",P723=0),"no",TRUE,"yes")</f>
        <v>yes</v>
      </c>
      <c r="S723" t="str">
        <f t="shared" si="59"/>
        <v>Not Specified</v>
      </c>
    </row>
    <row r="724" spans="1:19">
      <c r="A724" t="s">
        <v>1530</v>
      </c>
      <c r="B724" t="s">
        <v>1531</v>
      </c>
      <c r="C724" t="s">
        <v>46</v>
      </c>
      <c r="D724" t="str" cm="1">
        <f t="array" ref="D724">_xlfn.IFS(OR(LOWER(C724)="f",LOWER(C724)="female"),"Female",TRUE,"Male")</f>
        <v>Female</v>
      </c>
      <c r="E724">
        <v>53</v>
      </c>
      <c r="F724">
        <f t="shared" si="55"/>
        <v>53</v>
      </c>
      <c r="G724" t="s">
        <v>186</v>
      </c>
      <c r="H724" t="s">
        <v>79</v>
      </c>
      <c r="I724" t="s">
        <v>96</v>
      </c>
      <c r="J724">
        <v>8</v>
      </c>
      <c r="K724">
        <f t="shared" si="56"/>
        <v>8</v>
      </c>
      <c r="L724">
        <v>20</v>
      </c>
      <c r="M724" t="str">
        <f t="shared" si="57"/>
        <v>20</v>
      </c>
      <c r="N724">
        <v>2.8</v>
      </c>
      <c r="O724" s="3">
        <f t="shared" si="58"/>
        <v>2.8</v>
      </c>
      <c r="P724" t="b">
        <v>1</v>
      </c>
      <c r="Q724" t="str" cm="1">
        <f t="array" ref="Q724">_xlfn.IFS(ISBLANK(P724),"Not Specified",OR(P724="N",P724=FALSE,P724="no",P724=0),"no",TRUE,"yes")</f>
        <v>yes</v>
      </c>
      <c r="S724" t="str">
        <f t="shared" si="59"/>
        <v>Not Specified</v>
      </c>
    </row>
    <row r="725" spans="1:19">
      <c r="A725" t="s">
        <v>1532</v>
      </c>
      <c r="B725" t="s">
        <v>1533</v>
      </c>
      <c r="C725" t="s">
        <v>55</v>
      </c>
      <c r="D725" t="str" cm="1">
        <f t="array" ref="D725">_xlfn.IFS(OR(LOWER(C725)="f",LOWER(C725)="female"),"Female",TRUE,"Male")</f>
        <v>Male</v>
      </c>
      <c r="E725">
        <v>51</v>
      </c>
      <c r="F725">
        <f t="shared" si="55"/>
        <v>51</v>
      </c>
      <c r="G725" t="s">
        <v>69</v>
      </c>
      <c r="H725" t="s">
        <v>70</v>
      </c>
      <c r="I725" t="s">
        <v>80</v>
      </c>
      <c r="J725">
        <v>11</v>
      </c>
      <c r="K725">
        <f t="shared" si="56"/>
        <v>11</v>
      </c>
      <c r="L725" t="s">
        <v>116</v>
      </c>
      <c r="M725" t="str">
        <f t="shared" si="57"/>
        <v> 30</v>
      </c>
      <c r="N725">
        <v>3.6</v>
      </c>
      <c r="O725" s="3">
        <f t="shared" si="58"/>
        <v>3.6</v>
      </c>
      <c r="P725" t="s">
        <v>81</v>
      </c>
      <c r="Q725" t="str" cm="1">
        <f t="array" ref="Q725">_xlfn.IFS(ISBLANK(P725),"Not Specified",OR(P725="N",P725=FALSE,P725="no",P725=0),"no",TRUE,"yes")</f>
        <v>yes</v>
      </c>
      <c r="R725" s="5">
        <v>0.77</v>
      </c>
      <c r="S725">
        <f t="shared" si="59"/>
        <v>77</v>
      </c>
    </row>
    <row r="726" spans="1:19">
      <c r="A726" t="s">
        <v>1534</v>
      </c>
      <c r="B726" t="s">
        <v>1535</v>
      </c>
      <c r="C726" t="s">
        <v>27</v>
      </c>
      <c r="D726" t="str" cm="1">
        <f t="array" ref="D726">_xlfn.IFS(OR(LOWER(C726)="f",LOWER(C726)="female"),"Female",TRUE,"Male")</f>
        <v>Female</v>
      </c>
      <c r="E726">
        <v>37</v>
      </c>
      <c r="F726">
        <f t="shared" si="55"/>
        <v>37</v>
      </c>
      <c r="G726" t="s">
        <v>135</v>
      </c>
      <c r="H726" t="s">
        <v>29</v>
      </c>
      <c r="I726" t="s">
        <v>85</v>
      </c>
      <c r="J726">
        <v>9</v>
      </c>
      <c r="K726">
        <f t="shared" si="56"/>
        <v>9</v>
      </c>
      <c r="L726" t="s">
        <v>71</v>
      </c>
      <c r="M726" t="str">
        <f t="shared" si="57"/>
        <v>50</v>
      </c>
      <c r="O726" s="3" t="str">
        <f t="shared" si="58"/>
        <v>Not Specified</v>
      </c>
      <c r="P726" t="s">
        <v>75</v>
      </c>
      <c r="Q726" t="str" cm="1">
        <f t="array" ref="Q726">_xlfn.IFS(ISBLANK(P726),"Not Specified",OR(P726="N",P726=FALSE,P726="no",P726=0),"no",TRUE,"yes")</f>
        <v>yes</v>
      </c>
      <c r="R726">
        <v>84</v>
      </c>
      <c r="S726">
        <f t="shared" si="59"/>
        <v>84</v>
      </c>
    </row>
    <row r="727" spans="1:19">
      <c r="A727" t="s">
        <v>1536</v>
      </c>
      <c r="B727" t="s">
        <v>1537</v>
      </c>
      <c r="C727" t="s">
        <v>68</v>
      </c>
      <c r="D727" t="str" cm="1">
        <f t="array" ref="D727">_xlfn.IFS(OR(LOWER(C727)="f",LOWER(C727)="female"),"Female",TRUE,"Male")</f>
        <v>Male</v>
      </c>
      <c r="E727">
        <v>40</v>
      </c>
      <c r="F727">
        <f t="shared" si="55"/>
        <v>40</v>
      </c>
      <c r="G727" t="s">
        <v>197</v>
      </c>
      <c r="H727" t="s">
        <v>79</v>
      </c>
      <c r="I727" t="s">
        <v>42</v>
      </c>
      <c r="J727">
        <v>7</v>
      </c>
      <c r="K727">
        <f t="shared" si="56"/>
        <v>7</v>
      </c>
      <c r="L727">
        <v>40</v>
      </c>
      <c r="M727" t="str">
        <f t="shared" si="57"/>
        <v>40</v>
      </c>
      <c r="N727">
        <v>4.5</v>
      </c>
      <c r="O727" s="3">
        <f t="shared" si="58"/>
        <v>4.5</v>
      </c>
      <c r="Q727" t="str" cm="1">
        <f t="array" ref="Q727">_xlfn.IFS(ISBLANK(P727),"Not Specified",OR(P727="N",P727=FALSE,P727="no",P727=0),"no",TRUE,"yes")</f>
        <v>Not Specified</v>
      </c>
      <c r="R727">
        <v>79</v>
      </c>
      <c r="S727">
        <f t="shared" si="59"/>
        <v>79</v>
      </c>
    </row>
    <row r="728" spans="1:19">
      <c r="A728" t="s">
        <v>1538</v>
      </c>
      <c r="B728" t="s">
        <v>1539</v>
      </c>
      <c r="C728" t="s">
        <v>55</v>
      </c>
      <c r="D728" t="str" cm="1">
        <f t="array" ref="D728">_xlfn.IFS(OR(LOWER(C728)="f",LOWER(C728)="female"),"Female",TRUE,"Male")</f>
        <v>Male</v>
      </c>
      <c r="E728">
        <v>60</v>
      </c>
      <c r="F728">
        <f t="shared" si="55"/>
        <v>60</v>
      </c>
      <c r="G728" t="s">
        <v>92</v>
      </c>
      <c r="H728" t="s">
        <v>93</v>
      </c>
      <c r="I728" t="s">
        <v>58</v>
      </c>
      <c r="J728">
        <v>24</v>
      </c>
      <c r="K728">
        <f t="shared" si="56"/>
        <v>24</v>
      </c>
      <c r="L728" t="s">
        <v>62</v>
      </c>
      <c r="M728" t="str">
        <f t="shared" si="57"/>
        <v> 40</v>
      </c>
      <c r="N728">
        <v>3.1</v>
      </c>
      <c r="O728" s="3">
        <f t="shared" si="58"/>
        <v>3.1</v>
      </c>
      <c r="P728">
        <v>0</v>
      </c>
      <c r="Q728" t="str" cm="1">
        <f t="array" ref="Q728">_xlfn.IFS(ISBLANK(P728),"Not Specified",OR(P728="N",P728=FALSE,P728="no",P728=0),"no",TRUE,"yes")</f>
        <v>no</v>
      </c>
      <c r="R728" s="5">
        <v>0.69</v>
      </c>
      <c r="S728">
        <f t="shared" si="59"/>
        <v>69</v>
      </c>
    </row>
    <row r="729" spans="1:19">
      <c r="A729" t="s">
        <v>1540</v>
      </c>
      <c r="B729" t="s">
        <v>1541</v>
      </c>
      <c r="C729" t="s">
        <v>99</v>
      </c>
      <c r="D729" t="str" cm="1">
        <f t="array" ref="D729">_xlfn.IFS(OR(LOWER(C729)="f",LOWER(C729)="female"),"Female",TRUE,"Male")</f>
        <v>Male</v>
      </c>
      <c r="E729">
        <v>60</v>
      </c>
      <c r="F729">
        <f t="shared" si="55"/>
        <v>60</v>
      </c>
      <c r="G729" t="s">
        <v>142</v>
      </c>
      <c r="H729" t="s">
        <v>143</v>
      </c>
      <c r="I729" t="s">
        <v>80</v>
      </c>
      <c r="J729">
        <v>0</v>
      </c>
      <c r="K729">
        <f t="shared" si="56"/>
        <v>0</v>
      </c>
      <c r="L729">
        <v>40</v>
      </c>
      <c r="M729" t="str">
        <f t="shared" si="57"/>
        <v>40</v>
      </c>
      <c r="N729">
        <v>4.9</v>
      </c>
      <c r="O729" s="3">
        <f t="shared" si="58"/>
        <v>4.9</v>
      </c>
      <c r="P729" t="s">
        <v>81</v>
      </c>
      <c r="Q729" t="str" cm="1">
        <f t="array" ref="Q729">_xlfn.IFS(ISBLANK(P729),"Not Specified",OR(P729="N",P729=FALSE,P729="no",P729=0),"no",TRUE,"yes")</f>
        <v>yes</v>
      </c>
      <c r="R729" s="5">
        <v>0.68</v>
      </c>
      <c r="S729">
        <f t="shared" si="59"/>
        <v>68</v>
      </c>
    </row>
    <row r="730" spans="1:19">
      <c r="A730" t="s">
        <v>1542</v>
      </c>
      <c r="B730" t="s">
        <v>1543</v>
      </c>
      <c r="C730" t="s">
        <v>84</v>
      </c>
      <c r="D730" t="str" cm="1">
        <f t="array" ref="D730">_xlfn.IFS(OR(LOWER(C730)="f",LOWER(C730)="female"),"Female",TRUE,"Male")</f>
        <v>Female</v>
      </c>
      <c r="E730">
        <v>53</v>
      </c>
      <c r="F730">
        <f t="shared" si="55"/>
        <v>53</v>
      </c>
      <c r="G730" t="s">
        <v>119</v>
      </c>
      <c r="H730" t="s">
        <v>120</v>
      </c>
      <c r="I730" t="s">
        <v>80</v>
      </c>
      <c r="J730">
        <v>21</v>
      </c>
      <c r="K730">
        <f t="shared" si="56"/>
        <v>21</v>
      </c>
      <c r="L730" t="s">
        <v>52</v>
      </c>
      <c r="M730" t="str">
        <f t="shared" si="57"/>
        <v>30</v>
      </c>
      <c r="N730">
        <v>4.2</v>
      </c>
      <c r="O730" s="3">
        <f t="shared" si="58"/>
        <v>4.2</v>
      </c>
      <c r="P730">
        <v>1</v>
      </c>
      <c r="Q730" t="str" cm="1">
        <f t="array" ref="Q730">_xlfn.IFS(ISBLANK(P730),"Not Specified",OR(P730="N",P730=FALSE,P730="no",P730=0),"no",TRUE,"yes")</f>
        <v>yes</v>
      </c>
      <c r="R730">
        <v>73</v>
      </c>
      <c r="S730">
        <f t="shared" si="59"/>
        <v>73</v>
      </c>
    </row>
    <row r="731" spans="1:19">
      <c r="A731" t="s">
        <v>1544</v>
      </c>
      <c r="B731" t="s">
        <v>1545</v>
      </c>
      <c r="C731" t="s">
        <v>84</v>
      </c>
      <c r="D731" t="str" cm="1">
        <f t="array" ref="D731">_xlfn.IFS(OR(LOWER(C731)="f",LOWER(C731)="female"),"Female",TRUE,"Male")</f>
        <v>Female</v>
      </c>
      <c r="E731">
        <v>20</v>
      </c>
      <c r="F731">
        <f t="shared" si="55"/>
        <v>20</v>
      </c>
      <c r="G731" t="s">
        <v>186</v>
      </c>
      <c r="H731" t="s">
        <v>79</v>
      </c>
      <c r="I731" t="s">
        <v>24</v>
      </c>
      <c r="J731">
        <v>0</v>
      </c>
      <c r="K731">
        <f t="shared" si="56"/>
        <v>0</v>
      </c>
      <c r="L731">
        <v>75</v>
      </c>
      <c r="M731" t="str">
        <f t="shared" si="57"/>
        <v>75</v>
      </c>
      <c r="N731">
        <v>3.2</v>
      </c>
      <c r="O731" s="3">
        <f t="shared" si="58"/>
        <v>3.2</v>
      </c>
      <c r="P731">
        <v>1</v>
      </c>
      <c r="Q731" t="str" cm="1">
        <f t="array" ref="Q731">_xlfn.IFS(ISBLANK(P731),"Not Specified",OR(P731="N",P731=FALSE,P731="no",P731=0),"no",TRUE,"yes")</f>
        <v>yes</v>
      </c>
      <c r="R731" s="5">
        <v>0.74</v>
      </c>
      <c r="S731">
        <f t="shared" si="59"/>
        <v>74</v>
      </c>
    </row>
    <row r="732" spans="1:19">
      <c r="A732" t="s">
        <v>1546</v>
      </c>
      <c r="B732" t="s">
        <v>1547</v>
      </c>
      <c r="C732" t="s">
        <v>68</v>
      </c>
      <c r="D732" t="str" cm="1">
        <f t="array" ref="D732">_xlfn.IFS(OR(LOWER(C732)="f",LOWER(C732)="female"),"Female",TRUE,"Male")</f>
        <v>Male</v>
      </c>
      <c r="E732">
        <v>42</v>
      </c>
      <c r="F732">
        <f t="shared" si="55"/>
        <v>42</v>
      </c>
      <c r="G732" t="s">
        <v>131</v>
      </c>
      <c r="H732" t="s">
        <v>132</v>
      </c>
      <c r="I732" t="s">
        <v>42</v>
      </c>
      <c r="J732">
        <v>7</v>
      </c>
      <c r="K732">
        <f t="shared" si="56"/>
        <v>7</v>
      </c>
      <c r="L732" t="s">
        <v>321</v>
      </c>
      <c r="M732" t="str">
        <f t="shared" si="57"/>
        <v> 20</v>
      </c>
      <c r="O732" s="3" t="str">
        <f t="shared" si="58"/>
        <v>Not Specified</v>
      </c>
      <c r="P732" t="b">
        <v>0</v>
      </c>
      <c r="Q732" t="str" cm="1">
        <f t="array" ref="Q732">_xlfn.IFS(ISBLANK(P732),"Not Specified",OR(P732="N",P732=FALSE,P732="no",P732=0),"no",TRUE,"yes")</f>
        <v>no</v>
      </c>
      <c r="R732" s="5">
        <v>1</v>
      </c>
      <c r="S732">
        <f t="shared" si="59"/>
        <v>100</v>
      </c>
    </row>
    <row r="733" spans="1:19">
      <c r="A733" t="s">
        <v>1548</v>
      </c>
      <c r="B733" t="s">
        <v>1549</v>
      </c>
      <c r="C733" t="s">
        <v>99</v>
      </c>
      <c r="D733" t="str" cm="1">
        <f t="array" ref="D733">_xlfn.IFS(OR(LOWER(C733)="f",LOWER(C733)="female"),"Female",TRUE,"Male")</f>
        <v>Male</v>
      </c>
      <c r="E733">
        <v>21</v>
      </c>
      <c r="F733">
        <f t="shared" si="55"/>
        <v>21</v>
      </c>
      <c r="G733" t="s">
        <v>74</v>
      </c>
      <c r="H733" t="s">
        <v>29</v>
      </c>
      <c r="I733" t="s">
        <v>30</v>
      </c>
      <c r="J733">
        <v>3</v>
      </c>
      <c r="K733">
        <f t="shared" si="56"/>
        <v>3</v>
      </c>
      <c r="L733">
        <v>40</v>
      </c>
      <c r="M733" t="str">
        <f t="shared" si="57"/>
        <v>40</v>
      </c>
      <c r="N733">
        <v>0</v>
      </c>
      <c r="O733" s="3" t="str">
        <f t="shared" si="58"/>
        <v>Not Specified</v>
      </c>
      <c r="P733">
        <v>0</v>
      </c>
      <c r="Q733" t="str" cm="1">
        <f t="array" ref="Q733">_xlfn.IFS(ISBLANK(P733),"Not Specified",OR(P733="N",P733=FALSE,P733="no",P733=0),"no",TRUE,"yes")</f>
        <v>no</v>
      </c>
      <c r="R733" s="5">
        <v>0.87</v>
      </c>
      <c r="S733">
        <f t="shared" si="59"/>
        <v>87</v>
      </c>
    </row>
    <row r="734" spans="1:19">
      <c r="A734" t="s">
        <v>1550</v>
      </c>
      <c r="B734" t="s">
        <v>1551</v>
      </c>
      <c r="C734" t="s">
        <v>55</v>
      </c>
      <c r="D734" t="str" cm="1">
        <f t="array" ref="D734">_xlfn.IFS(OR(LOWER(C734)="f",LOWER(C734)="female"),"Female",TRUE,"Male")</f>
        <v>Male</v>
      </c>
      <c r="E734">
        <v>39</v>
      </c>
      <c r="F734">
        <f t="shared" si="55"/>
        <v>39</v>
      </c>
      <c r="G734" t="s">
        <v>35</v>
      </c>
      <c r="H734" t="s">
        <v>36</v>
      </c>
      <c r="I734" t="s">
        <v>42</v>
      </c>
      <c r="J734">
        <v>21</v>
      </c>
      <c r="K734">
        <f t="shared" si="56"/>
        <v>21</v>
      </c>
      <c r="L734">
        <v>100</v>
      </c>
      <c r="M734" t="str">
        <f t="shared" si="57"/>
        <v>100</v>
      </c>
      <c r="N734">
        <v>2.2</v>
      </c>
      <c r="O734" s="3">
        <f t="shared" si="58"/>
        <v>2.2</v>
      </c>
      <c r="P734">
        <v>0</v>
      </c>
      <c r="Q734" t="str" cm="1">
        <f t="array" ref="Q734">_xlfn.IFS(ISBLANK(P734),"Not Specified",OR(P734="N",P734=FALSE,P734="no",P734=0),"no",TRUE,"yes")</f>
        <v>no</v>
      </c>
      <c r="R734" s="5">
        <v>0.79</v>
      </c>
      <c r="S734">
        <f t="shared" si="59"/>
        <v>79</v>
      </c>
    </row>
    <row r="735" spans="1:19">
      <c r="A735" t="s">
        <v>1552</v>
      </c>
      <c r="B735" t="s">
        <v>1553</v>
      </c>
      <c r="C735" t="s">
        <v>55</v>
      </c>
      <c r="D735" t="str" cm="1">
        <f t="array" ref="D735">_xlfn.IFS(OR(LOWER(C735)="f",LOWER(C735)="female"),"Female",TRUE,"Male")</f>
        <v>Male</v>
      </c>
      <c r="E735">
        <v>32</v>
      </c>
      <c r="F735">
        <f t="shared" si="55"/>
        <v>32</v>
      </c>
      <c r="G735" t="s">
        <v>100</v>
      </c>
      <c r="H735" t="s">
        <v>101</v>
      </c>
      <c r="I735" t="s">
        <v>24</v>
      </c>
      <c r="K735" t="str">
        <f t="shared" si="56"/>
        <v>Not Specified</v>
      </c>
      <c r="L735">
        <v>30</v>
      </c>
      <c r="M735" t="str">
        <f t="shared" si="57"/>
        <v>30</v>
      </c>
      <c r="N735">
        <v>1.5</v>
      </c>
      <c r="O735" s="3">
        <f t="shared" si="58"/>
        <v>1.5</v>
      </c>
      <c r="P735">
        <v>0</v>
      </c>
      <c r="Q735" t="str" cm="1">
        <f t="array" ref="Q735">_xlfn.IFS(ISBLANK(P735),"Not Specified",OR(P735="N",P735=FALSE,P735="no",P735=0),"no",TRUE,"yes")</f>
        <v>no</v>
      </c>
      <c r="R735" s="5">
        <v>0.68</v>
      </c>
      <c r="S735">
        <f t="shared" si="59"/>
        <v>68</v>
      </c>
    </row>
    <row r="736" spans="1:19">
      <c r="A736" t="s">
        <v>1554</v>
      </c>
      <c r="B736" t="s">
        <v>1555</v>
      </c>
      <c r="C736" t="s">
        <v>99</v>
      </c>
      <c r="D736" t="str" cm="1">
        <f t="array" ref="D736">_xlfn.IFS(OR(LOWER(C736)="f",LOWER(C736)="female"),"Female",TRUE,"Male")</f>
        <v>Male</v>
      </c>
      <c r="E736">
        <v>35</v>
      </c>
      <c r="F736">
        <f t="shared" si="55"/>
        <v>35</v>
      </c>
      <c r="G736" t="s">
        <v>35</v>
      </c>
      <c r="H736" t="s">
        <v>36</v>
      </c>
      <c r="I736" t="s">
        <v>58</v>
      </c>
      <c r="K736" t="str">
        <f t="shared" si="56"/>
        <v>Not Specified</v>
      </c>
      <c r="L736" t="s">
        <v>31</v>
      </c>
      <c r="M736" t="str">
        <f t="shared" si="57"/>
        <v> 100</v>
      </c>
      <c r="O736" s="3" t="str">
        <f t="shared" si="58"/>
        <v>Not Specified</v>
      </c>
      <c r="P736">
        <v>0</v>
      </c>
      <c r="Q736" t="str" cm="1">
        <f t="array" ref="Q736">_xlfn.IFS(ISBLANK(P736),"Not Specified",OR(P736="N",P736=FALSE,P736="no",P736=0),"no",TRUE,"yes")</f>
        <v>no</v>
      </c>
      <c r="R736" s="5">
        <v>0.84</v>
      </c>
      <c r="S736">
        <f t="shared" si="59"/>
        <v>84</v>
      </c>
    </row>
    <row r="737" spans="1:19">
      <c r="A737" t="s">
        <v>1556</v>
      </c>
      <c r="B737" t="s">
        <v>1557</v>
      </c>
      <c r="C737" t="s">
        <v>21</v>
      </c>
      <c r="D737" t="str" cm="1">
        <f t="array" ref="D737">_xlfn.IFS(OR(LOWER(C737)="f",LOWER(C737)="female"),"Female",TRUE,"Male")</f>
        <v>Female</v>
      </c>
      <c r="E737">
        <v>35</v>
      </c>
      <c r="F737">
        <f t="shared" si="55"/>
        <v>35</v>
      </c>
      <c r="G737" t="s">
        <v>142</v>
      </c>
      <c r="H737" t="s">
        <v>143</v>
      </c>
      <c r="I737" t="s">
        <v>80</v>
      </c>
      <c r="J737">
        <v>17</v>
      </c>
      <c r="K737">
        <f t="shared" si="56"/>
        <v>17</v>
      </c>
      <c r="L737">
        <v>50</v>
      </c>
      <c r="M737" t="str">
        <f t="shared" si="57"/>
        <v>50</v>
      </c>
      <c r="N737">
        <v>3.1</v>
      </c>
      <c r="O737" s="3">
        <f t="shared" si="58"/>
        <v>3.1</v>
      </c>
      <c r="P737">
        <v>0</v>
      </c>
      <c r="Q737" t="str" cm="1">
        <f t="array" ref="Q737">_xlfn.IFS(ISBLANK(P737),"Not Specified",OR(P737="N",P737=FALSE,P737="no",P737=0),"no",TRUE,"yes")</f>
        <v>no</v>
      </c>
      <c r="R737" s="5">
        <v>0.71</v>
      </c>
      <c r="S737">
        <f t="shared" si="59"/>
        <v>71</v>
      </c>
    </row>
    <row r="738" spans="1:19">
      <c r="A738" t="s">
        <v>1558</v>
      </c>
      <c r="B738" t="s">
        <v>1559</v>
      </c>
      <c r="C738" t="s">
        <v>27</v>
      </c>
      <c r="D738" t="str" cm="1">
        <f t="array" ref="D738">_xlfn.IFS(OR(LOWER(C738)="f",LOWER(C738)="female"),"Female",TRUE,"Male")</f>
        <v>Female</v>
      </c>
      <c r="E738">
        <v>23</v>
      </c>
      <c r="F738">
        <f t="shared" si="55"/>
        <v>23</v>
      </c>
      <c r="G738" t="s">
        <v>78</v>
      </c>
      <c r="H738" t="s">
        <v>79</v>
      </c>
      <c r="I738" t="s">
        <v>80</v>
      </c>
      <c r="J738">
        <v>0</v>
      </c>
      <c r="K738">
        <f t="shared" si="56"/>
        <v>0</v>
      </c>
      <c r="L738">
        <v>75</v>
      </c>
      <c r="M738" t="str">
        <f t="shared" si="57"/>
        <v>75</v>
      </c>
      <c r="N738">
        <v>0</v>
      </c>
      <c r="O738" s="3" t="str">
        <f t="shared" si="58"/>
        <v>Not Specified</v>
      </c>
      <c r="P738" t="s">
        <v>166</v>
      </c>
      <c r="Q738" t="str" cm="1">
        <f t="array" ref="Q738">_xlfn.IFS(ISBLANK(P738),"Not Specified",OR(P738="N",P738=FALSE,P738="no",P738=0),"no",TRUE,"yes")</f>
        <v>no</v>
      </c>
      <c r="R738" s="5">
        <v>0.92</v>
      </c>
      <c r="S738">
        <f t="shared" si="59"/>
        <v>92</v>
      </c>
    </row>
    <row r="739" spans="1:19">
      <c r="A739" t="s">
        <v>1560</v>
      </c>
      <c r="B739" t="s">
        <v>1561</v>
      </c>
      <c r="C739" t="s">
        <v>99</v>
      </c>
      <c r="D739" t="str" cm="1">
        <f t="array" ref="D739">_xlfn.IFS(OR(LOWER(C739)="f",LOWER(C739)="female"),"Female",TRUE,"Male")</f>
        <v>Male</v>
      </c>
      <c r="E739">
        <v>26</v>
      </c>
      <c r="F739">
        <f t="shared" si="55"/>
        <v>26</v>
      </c>
      <c r="G739" t="s">
        <v>49</v>
      </c>
      <c r="H739" t="s">
        <v>50</v>
      </c>
      <c r="I739" t="s">
        <v>51</v>
      </c>
      <c r="J739">
        <v>6</v>
      </c>
      <c r="K739">
        <f t="shared" si="56"/>
        <v>6</v>
      </c>
      <c r="L739" t="s">
        <v>31</v>
      </c>
      <c r="M739" t="str">
        <f t="shared" si="57"/>
        <v> 100</v>
      </c>
      <c r="O739" s="3" t="str">
        <f t="shared" si="58"/>
        <v>Not Specified</v>
      </c>
      <c r="P739" t="s">
        <v>166</v>
      </c>
      <c r="Q739" t="str" cm="1">
        <f t="array" ref="Q739">_xlfn.IFS(ISBLANK(P739),"Not Specified",OR(P739="N",P739=FALSE,P739="no",P739=0),"no",TRUE,"yes")</f>
        <v>no</v>
      </c>
      <c r="R739" s="5">
        <v>0.69</v>
      </c>
      <c r="S739">
        <f t="shared" si="59"/>
        <v>69</v>
      </c>
    </row>
    <row r="740" spans="1:19">
      <c r="A740" t="s">
        <v>1562</v>
      </c>
      <c r="B740" t="s">
        <v>1563</v>
      </c>
      <c r="C740" t="s">
        <v>41</v>
      </c>
      <c r="D740" t="str" cm="1">
        <f t="array" ref="D740">_xlfn.IFS(OR(LOWER(C740)="f",LOWER(C740)="female"),"Female",TRUE,"Male")</f>
        <v>Female</v>
      </c>
      <c r="E740">
        <v>34</v>
      </c>
      <c r="F740">
        <f t="shared" si="55"/>
        <v>34</v>
      </c>
      <c r="G740" t="s">
        <v>135</v>
      </c>
      <c r="H740" t="s">
        <v>29</v>
      </c>
      <c r="I740" t="s">
        <v>121</v>
      </c>
      <c r="J740">
        <v>3</v>
      </c>
      <c r="K740">
        <f t="shared" si="56"/>
        <v>3</v>
      </c>
      <c r="M740" t="str">
        <f t="shared" si="57"/>
        <v>Not Specified</v>
      </c>
      <c r="N740">
        <v>0</v>
      </c>
      <c r="O740" s="3" t="str">
        <f t="shared" si="58"/>
        <v>Not Specified</v>
      </c>
      <c r="P740">
        <v>1</v>
      </c>
      <c r="Q740" t="str" cm="1">
        <f t="array" ref="Q740">_xlfn.IFS(ISBLANK(P740),"Not Specified",OR(P740="N",P740=FALSE,P740="no",P740=0),"no",TRUE,"yes")</f>
        <v>yes</v>
      </c>
      <c r="R740" s="5">
        <v>0.71</v>
      </c>
      <c r="S740">
        <f t="shared" si="59"/>
        <v>71</v>
      </c>
    </row>
    <row r="741" spans="1:19">
      <c r="A741" t="s">
        <v>1564</v>
      </c>
      <c r="B741" t="s">
        <v>1565</v>
      </c>
      <c r="C741" t="s">
        <v>84</v>
      </c>
      <c r="D741" t="str" cm="1">
        <f t="array" ref="D741">_xlfn.IFS(OR(LOWER(C741)="f",LOWER(C741)="female"),"Female",TRUE,"Male")</f>
        <v>Female</v>
      </c>
      <c r="E741">
        <v>34</v>
      </c>
      <c r="F741">
        <f t="shared" si="55"/>
        <v>34</v>
      </c>
      <c r="G741" t="s">
        <v>35</v>
      </c>
      <c r="H741" t="s">
        <v>36</v>
      </c>
      <c r="I741" t="s">
        <v>24</v>
      </c>
      <c r="J741">
        <v>3</v>
      </c>
      <c r="K741">
        <f t="shared" si="56"/>
        <v>3</v>
      </c>
      <c r="M741" t="str">
        <f t="shared" si="57"/>
        <v>Not Specified</v>
      </c>
      <c r="O741" s="3" t="str">
        <f t="shared" si="58"/>
        <v>Not Specified</v>
      </c>
      <c r="P741" t="b">
        <v>0</v>
      </c>
      <c r="Q741" t="str" cm="1">
        <f t="array" ref="Q741">_xlfn.IFS(ISBLANK(P741),"Not Specified",OR(P741="N",P741=FALSE,P741="no",P741=0),"no",TRUE,"yes")</f>
        <v>no</v>
      </c>
      <c r="R741" s="5">
        <v>0.77</v>
      </c>
      <c r="S741">
        <f t="shared" si="59"/>
        <v>77</v>
      </c>
    </row>
    <row r="742" spans="1:19">
      <c r="A742" t="s">
        <v>1566</v>
      </c>
      <c r="B742" t="s">
        <v>1567</v>
      </c>
      <c r="C742" t="s">
        <v>55</v>
      </c>
      <c r="D742" t="str" cm="1">
        <f t="array" ref="D742">_xlfn.IFS(OR(LOWER(C742)="f",LOWER(C742)="female"),"Female",TRUE,"Male")</f>
        <v>Male</v>
      </c>
      <c r="E742">
        <v>57</v>
      </c>
      <c r="F742">
        <f t="shared" si="55"/>
        <v>57</v>
      </c>
      <c r="G742" t="s">
        <v>22</v>
      </c>
      <c r="H742" t="s">
        <v>23</v>
      </c>
      <c r="I742" t="s">
        <v>42</v>
      </c>
      <c r="J742">
        <v>31</v>
      </c>
      <c r="K742">
        <f t="shared" si="56"/>
        <v>31</v>
      </c>
      <c r="L742">
        <v>50</v>
      </c>
      <c r="M742" t="str">
        <f t="shared" si="57"/>
        <v>50</v>
      </c>
      <c r="N742">
        <v>3</v>
      </c>
      <c r="O742" s="3">
        <f t="shared" si="58"/>
        <v>3</v>
      </c>
      <c r="P742" t="b">
        <v>1</v>
      </c>
      <c r="Q742" t="str" cm="1">
        <f t="array" ref="Q742">_xlfn.IFS(ISBLANK(P742),"Not Specified",OR(P742="N",P742=FALSE,P742="no",P742=0),"no",TRUE,"yes")</f>
        <v>yes</v>
      </c>
      <c r="R742" s="5">
        <v>0.87</v>
      </c>
      <c r="S742">
        <f t="shared" si="59"/>
        <v>87</v>
      </c>
    </row>
    <row r="743" spans="1:19">
      <c r="A743" t="s">
        <v>1568</v>
      </c>
      <c r="B743" t="s">
        <v>1569</v>
      </c>
      <c r="C743" t="s">
        <v>68</v>
      </c>
      <c r="D743" t="str" cm="1">
        <f t="array" ref="D743">_xlfn.IFS(OR(LOWER(C743)="f",LOWER(C743)="female"),"Female",TRUE,"Male")</f>
        <v>Male</v>
      </c>
      <c r="E743">
        <v>46</v>
      </c>
      <c r="F743">
        <f t="shared" si="55"/>
        <v>46</v>
      </c>
      <c r="G743" t="s">
        <v>135</v>
      </c>
      <c r="H743" t="s">
        <v>29</v>
      </c>
      <c r="I743" t="s">
        <v>42</v>
      </c>
      <c r="J743">
        <v>5</v>
      </c>
      <c r="K743">
        <f t="shared" si="56"/>
        <v>5</v>
      </c>
      <c r="L743" t="s">
        <v>52</v>
      </c>
      <c r="M743" t="str">
        <f t="shared" si="57"/>
        <v>30</v>
      </c>
      <c r="N743">
        <v>2.6</v>
      </c>
      <c r="O743" s="3">
        <f t="shared" si="58"/>
        <v>2.6</v>
      </c>
      <c r="P743" t="s">
        <v>166</v>
      </c>
      <c r="Q743" t="str" cm="1">
        <f t="array" ref="Q743">_xlfn.IFS(ISBLANK(P743),"Not Specified",OR(P743="N",P743=FALSE,P743="no",P743=0),"no",TRUE,"yes")</f>
        <v>no</v>
      </c>
      <c r="R743" s="5">
        <v>0.76</v>
      </c>
      <c r="S743">
        <f t="shared" si="59"/>
        <v>76</v>
      </c>
    </row>
    <row r="744" spans="1:19">
      <c r="A744" t="s">
        <v>1570</v>
      </c>
      <c r="B744" t="s">
        <v>1571</v>
      </c>
      <c r="C744" t="s">
        <v>34</v>
      </c>
      <c r="D744" t="str" cm="1">
        <f t="array" ref="D744">_xlfn.IFS(OR(LOWER(C744)="f",LOWER(C744)="female"),"Female",TRUE,"Male")</f>
        <v>Male</v>
      </c>
      <c r="E744">
        <v>55</v>
      </c>
      <c r="F744">
        <f t="shared" si="55"/>
        <v>55</v>
      </c>
      <c r="G744" t="s">
        <v>100</v>
      </c>
      <c r="H744" t="s">
        <v>101</v>
      </c>
      <c r="I744" t="s">
        <v>51</v>
      </c>
      <c r="J744">
        <v>37</v>
      </c>
      <c r="K744">
        <f t="shared" si="56"/>
        <v>37</v>
      </c>
      <c r="L744" t="s">
        <v>59</v>
      </c>
      <c r="M744" t="str">
        <f t="shared" si="57"/>
        <v> 75</v>
      </c>
      <c r="N744">
        <v>4.1</v>
      </c>
      <c r="O744" s="3">
        <f t="shared" si="58"/>
        <v>4.1</v>
      </c>
      <c r="P744" t="s">
        <v>166</v>
      </c>
      <c r="Q744" t="str" cm="1">
        <f t="array" ref="Q744">_xlfn.IFS(ISBLANK(P744),"Not Specified",OR(P744="N",P744=FALSE,P744="no",P744=0),"no",TRUE,"yes")</f>
        <v>no</v>
      </c>
      <c r="S744" t="str">
        <f t="shared" si="59"/>
        <v>Not Specified</v>
      </c>
    </row>
    <row r="745" spans="1:19">
      <c r="A745" t="s">
        <v>1572</v>
      </c>
      <c r="B745" t="s">
        <v>1573</v>
      </c>
      <c r="C745" t="s">
        <v>27</v>
      </c>
      <c r="D745" t="str" cm="1">
        <f t="array" ref="D745">_xlfn.IFS(OR(LOWER(C745)="f",LOWER(C745)="female"),"Female",TRUE,"Male")</f>
        <v>Female</v>
      </c>
      <c r="E745">
        <v>32</v>
      </c>
      <c r="F745">
        <f t="shared" si="55"/>
        <v>32</v>
      </c>
      <c r="G745" t="s">
        <v>28</v>
      </c>
      <c r="H745" t="s">
        <v>29</v>
      </c>
      <c r="I745" t="s">
        <v>96</v>
      </c>
      <c r="J745">
        <v>10</v>
      </c>
      <c r="K745">
        <f t="shared" si="56"/>
        <v>10</v>
      </c>
      <c r="L745" t="s">
        <v>105</v>
      </c>
      <c r="M745" t="str">
        <f t="shared" si="57"/>
        <v> 50</v>
      </c>
      <c r="N745">
        <v>1.5</v>
      </c>
      <c r="O745" s="3">
        <f t="shared" si="58"/>
        <v>1.5</v>
      </c>
      <c r="P745" t="b">
        <v>0</v>
      </c>
      <c r="Q745" t="str" cm="1">
        <f t="array" ref="Q745">_xlfn.IFS(ISBLANK(P745),"Not Specified",OR(P745="N",P745=FALSE,P745="no",P745=0),"no",TRUE,"yes")</f>
        <v>no</v>
      </c>
      <c r="R745" s="5">
        <v>0.65</v>
      </c>
      <c r="S745">
        <f t="shared" si="59"/>
        <v>65</v>
      </c>
    </row>
    <row r="746" spans="1:19">
      <c r="A746" t="s">
        <v>1574</v>
      </c>
      <c r="B746" t="s">
        <v>1575</v>
      </c>
      <c r="C746" t="s">
        <v>99</v>
      </c>
      <c r="D746" t="str" cm="1">
        <f t="array" ref="D746">_xlfn.IFS(OR(LOWER(C746)="f",LOWER(C746)="female"),"Female",TRUE,"Male")</f>
        <v>Male</v>
      </c>
      <c r="E746">
        <v>53</v>
      </c>
      <c r="F746">
        <f t="shared" si="55"/>
        <v>53</v>
      </c>
      <c r="G746" t="s">
        <v>56</v>
      </c>
      <c r="H746" t="s">
        <v>57</v>
      </c>
      <c r="I746" t="s">
        <v>51</v>
      </c>
      <c r="J746">
        <v>28</v>
      </c>
      <c r="K746">
        <f t="shared" si="56"/>
        <v>28</v>
      </c>
      <c r="L746" t="s">
        <v>105</v>
      </c>
      <c r="M746" t="str">
        <f t="shared" si="57"/>
        <v> 50</v>
      </c>
      <c r="N746">
        <v>2.9</v>
      </c>
      <c r="O746" s="3">
        <f t="shared" si="58"/>
        <v>2.9</v>
      </c>
      <c r="P746" t="s">
        <v>75</v>
      </c>
      <c r="Q746" t="str" cm="1">
        <f t="array" ref="Q746">_xlfn.IFS(ISBLANK(P746),"Not Specified",OR(P746="N",P746=FALSE,P746="no",P746=0),"no",TRUE,"yes")</f>
        <v>yes</v>
      </c>
      <c r="R746" s="5">
        <v>0.82</v>
      </c>
      <c r="S746">
        <f t="shared" si="59"/>
        <v>82</v>
      </c>
    </row>
    <row r="747" spans="1:19">
      <c r="A747" t="s">
        <v>1576</v>
      </c>
      <c r="B747" t="s">
        <v>1577</v>
      </c>
      <c r="C747" t="s">
        <v>34</v>
      </c>
      <c r="D747" t="str" cm="1">
        <f t="array" ref="D747">_xlfn.IFS(OR(LOWER(C747)="f",LOWER(C747)="female"),"Female",TRUE,"Male")</f>
        <v>Male</v>
      </c>
      <c r="E747">
        <v>59</v>
      </c>
      <c r="F747">
        <f t="shared" si="55"/>
        <v>59</v>
      </c>
      <c r="G747" t="s">
        <v>186</v>
      </c>
      <c r="H747" t="s">
        <v>79</v>
      </c>
      <c r="I747" t="s">
        <v>51</v>
      </c>
      <c r="J747">
        <v>0</v>
      </c>
      <c r="K747">
        <f t="shared" si="56"/>
        <v>0</v>
      </c>
      <c r="L747">
        <v>100</v>
      </c>
      <c r="M747" t="str">
        <f t="shared" si="57"/>
        <v>100</v>
      </c>
      <c r="N747">
        <v>0</v>
      </c>
      <c r="O747" s="3" t="str">
        <f t="shared" si="58"/>
        <v>Not Specified</v>
      </c>
      <c r="P747" t="s">
        <v>81</v>
      </c>
      <c r="Q747" t="str" cm="1">
        <f t="array" ref="Q747">_xlfn.IFS(ISBLANK(P747),"Not Specified",OR(P747="N",P747=FALSE,P747="no",P747=0),"no",TRUE,"yes")</f>
        <v>yes</v>
      </c>
      <c r="R747">
        <v>87</v>
      </c>
      <c r="S747">
        <f t="shared" si="59"/>
        <v>87</v>
      </c>
    </row>
    <row r="748" spans="1:19">
      <c r="A748" t="s">
        <v>1578</v>
      </c>
      <c r="B748" t="s">
        <v>1579</v>
      </c>
      <c r="C748" t="s">
        <v>41</v>
      </c>
      <c r="D748" t="str" cm="1">
        <f t="array" ref="D748">_xlfn.IFS(OR(LOWER(C748)="f",LOWER(C748)="female"),"Female",TRUE,"Male")</f>
        <v>Female</v>
      </c>
      <c r="E748">
        <v>44</v>
      </c>
      <c r="F748">
        <f t="shared" si="55"/>
        <v>44</v>
      </c>
      <c r="G748" t="s">
        <v>49</v>
      </c>
      <c r="H748" t="s">
        <v>50</v>
      </c>
      <c r="I748" t="s">
        <v>121</v>
      </c>
      <c r="J748">
        <v>19</v>
      </c>
      <c r="K748">
        <f t="shared" si="56"/>
        <v>19</v>
      </c>
      <c r="L748" t="s">
        <v>43</v>
      </c>
      <c r="M748" t="str">
        <f t="shared" si="57"/>
        <v>40</v>
      </c>
      <c r="N748">
        <v>4.9</v>
      </c>
      <c r="O748" s="3">
        <f t="shared" si="58"/>
        <v>4.9</v>
      </c>
      <c r="P748" t="s">
        <v>38</v>
      </c>
      <c r="Q748" t="str" cm="1">
        <f t="array" ref="Q748">_xlfn.IFS(ISBLANK(P748),"Not Specified",OR(P748="N",P748=FALSE,P748="no",P748=0),"no",TRUE,"yes")</f>
        <v>no</v>
      </c>
      <c r="R748" s="5">
        <v>1</v>
      </c>
      <c r="S748">
        <f t="shared" si="59"/>
        <v>100</v>
      </c>
    </row>
    <row r="749" spans="1:19">
      <c r="A749" t="s">
        <v>1580</v>
      </c>
      <c r="B749" t="s">
        <v>1581</v>
      </c>
      <c r="C749" t="s">
        <v>104</v>
      </c>
      <c r="D749" t="str" cm="1">
        <f t="array" ref="D749">_xlfn.IFS(OR(LOWER(C749)="f",LOWER(C749)="female"),"Female",TRUE,"Male")</f>
        <v>Male</v>
      </c>
      <c r="E749">
        <v>35</v>
      </c>
      <c r="F749">
        <f t="shared" si="55"/>
        <v>35</v>
      </c>
      <c r="G749" t="s">
        <v>146</v>
      </c>
      <c r="H749" t="s">
        <v>147</v>
      </c>
      <c r="I749" t="s">
        <v>24</v>
      </c>
      <c r="J749">
        <v>9</v>
      </c>
      <c r="K749">
        <f t="shared" si="56"/>
        <v>9</v>
      </c>
      <c r="L749" t="s">
        <v>105</v>
      </c>
      <c r="M749" t="str">
        <f t="shared" si="57"/>
        <v> 50</v>
      </c>
      <c r="N749">
        <v>3</v>
      </c>
      <c r="O749" s="3">
        <f t="shared" si="58"/>
        <v>3</v>
      </c>
      <c r="P749" t="s">
        <v>38</v>
      </c>
      <c r="Q749" t="str" cm="1">
        <f t="array" ref="Q749">_xlfn.IFS(ISBLANK(P749),"Not Specified",OR(P749="N",P749=FALSE,P749="no",P749=0),"no",TRUE,"yes")</f>
        <v>no</v>
      </c>
      <c r="R749">
        <v>71</v>
      </c>
      <c r="S749">
        <f t="shared" si="59"/>
        <v>71</v>
      </c>
    </row>
    <row r="750" spans="1:19">
      <c r="A750" t="s">
        <v>1582</v>
      </c>
      <c r="B750" t="s">
        <v>1583</v>
      </c>
      <c r="C750" t="s">
        <v>21</v>
      </c>
      <c r="D750" t="str" cm="1">
        <f t="array" ref="D750">_xlfn.IFS(OR(LOWER(C750)="f",LOWER(C750)="female"),"Female",TRUE,"Male")</f>
        <v>Female</v>
      </c>
      <c r="E750">
        <v>42</v>
      </c>
      <c r="F750">
        <f t="shared" si="55"/>
        <v>42</v>
      </c>
      <c r="G750" t="s">
        <v>182</v>
      </c>
      <c r="H750" t="s">
        <v>183</v>
      </c>
      <c r="I750" t="s">
        <v>121</v>
      </c>
      <c r="J750">
        <v>5</v>
      </c>
      <c r="K750">
        <f t="shared" si="56"/>
        <v>5</v>
      </c>
      <c r="L750">
        <v>30</v>
      </c>
      <c r="M750" t="str">
        <f t="shared" si="57"/>
        <v>30</v>
      </c>
      <c r="N750">
        <v>4.9</v>
      </c>
      <c r="O750" s="3">
        <f t="shared" si="58"/>
        <v>4.9</v>
      </c>
      <c r="P750">
        <v>1</v>
      </c>
      <c r="Q750" t="str" cm="1">
        <f t="array" ref="Q750">_xlfn.IFS(ISBLANK(P750),"Not Specified",OR(P750="N",P750=FALSE,P750="no",P750=0),"no",TRUE,"yes")</f>
        <v>yes</v>
      </c>
      <c r="R750">
        <v>87</v>
      </c>
      <c r="S750">
        <f t="shared" si="59"/>
        <v>87</v>
      </c>
    </row>
    <row r="751" spans="1:19">
      <c r="A751" t="s">
        <v>1584</v>
      </c>
      <c r="B751" t="s">
        <v>1585</v>
      </c>
      <c r="C751" t="s">
        <v>21</v>
      </c>
      <c r="D751" t="str" cm="1">
        <f t="array" ref="D751">_xlfn.IFS(OR(LOWER(C751)="f",LOWER(C751)="female"),"Female",TRUE,"Male")</f>
        <v>Female</v>
      </c>
      <c r="E751">
        <v>58</v>
      </c>
      <c r="F751">
        <f t="shared" si="55"/>
        <v>58</v>
      </c>
      <c r="G751" t="s">
        <v>119</v>
      </c>
      <c r="H751" t="s">
        <v>120</v>
      </c>
      <c r="I751" t="s">
        <v>24</v>
      </c>
      <c r="J751">
        <v>0</v>
      </c>
      <c r="K751">
        <f t="shared" si="56"/>
        <v>0</v>
      </c>
      <c r="L751" t="s">
        <v>116</v>
      </c>
      <c r="M751" t="str">
        <f t="shared" si="57"/>
        <v> 30</v>
      </c>
      <c r="N751">
        <v>4.6</v>
      </c>
      <c r="O751" s="3">
        <f t="shared" si="58"/>
        <v>4.6</v>
      </c>
      <c r="P751">
        <v>0</v>
      </c>
      <c r="Q751" t="str" cm="1">
        <f t="array" ref="Q751">_xlfn.IFS(ISBLANK(P751),"Not Specified",OR(P751="N",P751=FALSE,P751="no",P751=0),"no",TRUE,"yes")</f>
        <v>no</v>
      </c>
      <c r="R751">
        <v>70</v>
      </c>
      <c r="S751">
        <f t="shared" si="59"/>
        <v>70</v>
      </c>
    </row>
    <row r="752" spans="1:19">
      <c r="A752" t="s">
        <v>1586</v>
      </c>
      <c r="B752" t="s">
        <v>1587</v>
      </c>
      <c r="C752" t="s">
        <v>68</v>
      </c>
      <c r="D752" t="str" cm="1">
        <f t="array" ref="D752">_xlfn.IFS(OR(LOWER(C752)="f",LOWER(C752)="female"),"Female",TRUE,"Male")</f>
        <v>Male</v>
      </c>
      <c r="E752">
        <v>41</v>
      </c>
      <c r="F752">
        <f t="shared" si="55"/>
        <v>41</v>
      </c>
      <c r="G752" t="s">
        <v>49</v>
      </c>
      <c r="H752" t="s">
        <v>50</v>
      </c>
      <c r="I752" t="s">
        <v>51</v>
      </c>
      <c r="J752">
        <v>21</v>
      </c>
      <c r="K752">
        <f t="shared" si="56"/>
        <v>21</v>
      </c>
      <c r="L752" t="s">
        <v>31</v>
      </c>
      <c r="M752" t="str">
        <f t="shared" si="57"/>
        <v> 100</v>
      </c>
      <c r="N752">
        <v>2.2</v>
      </c>
      <c r="O752" s="3">
        <f t="shared" si="58"/>
        <v>2.2</v>
      </c>
      <c r="P752">
        <v>1</v>
      </c>
      <c r="Q752" t="str" cm="1">
        <f t="array" ref="Q752">_xlfn.IFS(ISBLANK(P752),"Not Specified",OR(P752="N",P752=FALSE,P752="no",P752=0),"no",TRUE,"yes")</f>
        <v>yes</v>
      </c>
      <c r="R752" s="5">
        <v>0.83</v>
      </c>
      <c r="S752">
        <f t="shared" si="59"/>
        <v>83</v>
      </c>
    </row>
    <row r="753" spans="1:19">
      <c r="A753" t="s">
        <v>1588</v>
      </c>
      <c r="B753" t="s">
        <v>1589</v>
      </c>
      <c r="C753" t="s">
        <v>46</v>
      </c>
      <c r="D753" t="str" cm="1">
        <f t="array" ref="D753">_xlfn.IFS(OR(LOWER(C753)="f",LOWER(C753)="female"),"Female",TRUE,"Male")</f>
        <v>Female</v>
      </c>
      <c r="F753" t="str">
        <f t="shared" si="55"/>
        <v>Not Specified</v>
      </c>
      <c r="G753" t="s">
        <v>78</v>
      </c>
      <c r="H753" t="s">
        <v>79</v>
      </c>
      <c r="I753" t="s">
        <v>42</v>
      </c>
      <c r="J753">
        <v>0</v>
      </c>
      <c r="K753">
        <f t="shared" si="56"/>
        <v>0</v>
      </c>
      <c r="L753">
        <v>40</v>
      </c>
      <c r="M753" t="str">
        <f t="shared" si="57"/>
        <v>40</v>
      </c>
      <c r="O753" s="3" t="str">
        <f t="shared" si="58"/>
        <v>Not Specified</v>
      </c>
      <c r="P753" t="s">
        <v>81</v>
      </c>
      <c r="Q753" t="str" cm="1">
        <f t="array" ref="Q753">_xlfn.IFS(ISBLANK(P753),"Not Specified",OR(P753="N",P753=FALSE,P753="no",P753=0),"no",TRUE,"yes")</f>
        <v>yes</v>
      </c>
      <c r="R753" s="5">
        <v>0.74</v>
      </c>
      <c r="S753">
        <f t="shared" si="59"/>
        <v>74</v>
      </c>
    </row>
    <row r="754" spans="1:19">
      <c r="A754" t="s">
        <v>1590</v>
      </c>
      <c r="B754" t="s">
        <v>1591</v>
      </c>
      <c r="C754" t="s">
        <v>27</v>
      </c>
      <c r="D754" t="str" cm="1">
        <f t="array" ref="D754">_xlfn.IFS(OR(LOWER(C754)="f",LOWER(C754)="female"),"Female",TRUE,"Male")</f>
        <v>Female</v>
      </c>
      <c r="E754">
        <v>23</v>
      </c>
      <c r="F754">
        <f t="shared" si="55"/>
        <v>23</v>
      </c>
      <c r="G754" t="s">
        <v>135</v>
      </c>
      <c r="H754" t="s">
        <v>29</v>
      </c>
      <c r="I754" t="s">
        <v>24</v>
      </c>
      <c r="J754">
        <v>0</v>
      </c>
      <c r="K754">
        <f t="shared" si="56"/>
        <v>0</v>
      </c>
      <c r="L754">
        <v>30</v>
      </c>
      <c r="M754" t="str">
        <f t="shared" si="57"/>
        <v>30</v>
      </c>
      <c r="N754">
        <v>1.1</v>
      </c>
      <c r="O754" s="3">
        <f t="shared" si="58"/>
        <v>1.1</v>
      </c>
      <c r="P754" t="s">
        <v>75</v>
      </c>
      <c r="Q754" t="str" cm="1">
        <f t="array" ref="Q754">_xlfn.IFS(ISBLANK(P754),"Not Specified",OR(P754="N",P754=FALSE,P754="no",P754=0),"no",TRUE,"yes")</f>
        <v>yes</v>
      </c>
      <c r="R754" s="5">
        <v>0.86</v>
      </c>
      <c r="S754">
        <f t="shared" si="59"/>
        <v>86</v>
      </c>
    </row>
    <row r="755" spans="1:19">
      <c r="A755" t="s">
        <v>1592</v>
      </c>
      <c r="B755" t="s">
        <v>1593</v>
      </c>
      <c r="C755" t="s">
        <v>99</v>
      </c>
      <c r="D755" t="str" cm="1">
        <f t="array" ref="D755">_xlfn.IFS(OR(LOWER(C755)="f",LOWER(C755)="female"),"Female",TRUE,"Male")</f>
        <v>Male</v>
      </c>
      <c r="E755">
        <v>51</v>
      </c>
      <c r="F755">
        <f t="shared" si="55"/>
        <v>51</v>
      </c>
      <c r="G755" t="s">
        <v>182</v>
      </c>
      <c r="H755" t="s">
        <v>183</v>
      </c>
      <c r="I755" t="s">
        <v>24</v>
      </c>
      <c r="J755">
        <v>17</v>
      </c>
      <c r="K755">
        <f t="shared" si="56"/>
        <v>17</v>
      </c>
      <c r="L755">
        <v>40</v>
      </c>
      <c r="M755" t="str">
        <f t="shared" si="57"/>
        <v>40</v>
      </c>
      <c r="N755">
        <v>4.5</v>
      </c>
      <c r="O755" s="3">
        <f t="shared" si="58"/>
        <v>4.5</v>
      </c>
      <c r="P755">
        <v>1</v>
      </c>
      <c r="Q755" t="str" cm="1">
        <f t="array" ref="Q755">_xlfn.IFS(ISBLANK(P755),"Not Specified",OR(P755="N",P755=FALSE,P755="no",P755=0),"no",TRUE,"yes")</f>
        <v>yes</v>
      </c>
      <c r="R755" s="5">
        <v>0.72</v>
      </c>
      <c r="S755">
        <f t="shared" si="59"/>
        <v>72</v>
      </c>
    </row>
    <row r="756" spans="1:19">
      <c r="A756" t="s">
        <v>1594</v>
      </c>
      <c r="B756" t="s">
        <v>1595</v>
      </c>
      <c r="C756" t="s">
        <v>27</v>
      </c>
      <c r="D756" t="str" cm="1">
        <f t="array" ref="D756">_xlfn.IFS(OR(LOWER(C756)="f",LOWER(C756)="female"),"Female",TRUE,"Male")</f>
        <v>Female</v>
      </c>
      <c r="E756">
        <v>42</v>
      </c>
      <c r="F756">
        <f t="shared" si="55"/>
        <v>42</v>
      </c>
      <c r="G756" t="s">
        <v>142</v>
      </c>
      <c r="H756" t="s">
        <v>143</v>
      </c>
      <c r="I756" t="s">
        <v>51</v>
      </c>
      <c r="J756">
        <v>21</v>
      </c>
      <c r="K756">
        <f t="shared" si="56"/>
        <v>21</v>
      </c>
      <c r="M756" t="str">
        <f t="shared" si="57"/>
        <v>Not Specified</v>
      </c>
      <c r="N756">
        <v>2.5</v>
      </c>
      <c r="O756" s="3">
        <f t="shared" si="58"/>
        <v>2.5</v>
      </c>
      <c r="P756" t="b">
        <v>1</v>
      </c>
      <c r="Q756" t="str" cm="1">
        <f t="array" ref="Q756">_xlfn.IFS(ISBLANK(P756),"Not Specified",OR(P756="N",P756=FALSE,P756="no",P756=0),"no",TRUE,"yes")</f>
        <v>yes</v>
      </c>
      <c r="R756" s="5">
        <v>0.73</v>
      </c>
      <c r="S756">
        <f t="shared" si="59"/>
        <v>73</v>
      </c>
    </row>
    <row r="757" spans="1:19">
      <c r="A757" t="s">
        <v>1596</v>
      </c>
      <c r="B757" t="s">
        <v>1597</v>
      </c>
      <c r="C757" t="s">
        <v>68</v>
      </c>
      <c r="D757" t="str" cm="1">
        <f t="array" ref="D757">_xlfn.IFS(OR(LOWER(C757)="f",LOWER(C757)="female"),"Female",TRUE,"Male")</f>
        <v>Male</v>
      </c>
      <c r="E757">
        <v>26</v>
      </c>
      <c r="F757">
        <f t="shared" si="55"/>
        <v>26</v>
      </c>
      <c r="G757" t="s">
        <v>92</v>
      </c>
      <c r="H757" t="s">
        <v>93</v>
      </c>
      <c r="I757" t="s">
        <v>58</v>
      </c>
      <c r="J757">
        <v>7</v>
      </c>
      <c r="K757">
        <f t="shared" si="56"/>
        <v>7</v>
      </c>
      <c r="L757" t="s">
        <v>59</v>
      </c>
      <c r="M757" t="str">
        <f t="shared" si="57"/>
        <v> 75</v>
      </c>
      <c r="N757">
        <v>2.9</v>
      </c>
      <c r="O757" s="3">
        <f t="shared" si="58"/>
        <v>2.9</v>
      </c>
      <c r="P757">
        <v>0</v>
      </c>
      <c r="Q757" t="str" cm="1">
        <f t="array" ref="Q757">_xlfn.IFS(ISBLANK(P757),"Not Specified",OR(P757="N",P757=FALSE,P757="no",P757=0),"no",TRUE,"yes")</f>
        <v>no</v>
      </c>
      <c r="R757" s="5">
        <v>0.78</v>
      </c>
      <c r="S757">
        <f t="shared" si="59"/>
        <v>78</v>
      </c>
    </row>
    <row r="758" spans="1:19">
      <c r="A758" t="s">
        <v>1598</v>
      </c>
      <c r="B758" t="s">
        <v>1599</v>
      </c>
      <c r="C758" t="s">
        <v>21</v>
      </c>
      <c r="D758" t="str" cm="1">
        <f t="array" ref="D758">_xlfn.IFS(OR(LOWER(C758)="f",LOWER(C758)="female"),"Female",TRUE,"Male")</f>
        <v>Female</v>
      </c>
      <c r="E758">
        <v>49</v>
      </c>
      <c r="F758">
        <f t="shared" si="55"/>
        <v>49</v>
      </c>
      <c r="G758" t="s">
        <v>56</v>
      </c>
      <c r="H758" t="s">
        <v>57</v>
      </c>
      <c r="I758" t="s">
        <v>51</v>
      </c>
      <c r="J758">
        <v>22</v>
      </c>
      <c r="K758">
        <f t="shared" si="56"/>
        <v>22</v>
      </c>
      <c r="L758">
        <v>75</v>
      </c>
      <c r="M758" t="str">
        <f t="shared" si="57"/>
        <v>75</v>
      </c>
      <c r="N758">
        <v>0</v>
      </c>
      <c r="O758" s="3" t="str">
        <f t="shared" si="58"/>
        <v>Not Specified</v>
      </c>
      <c r="P758" t="b">
        <v>1</v>
      </c>
      <c r="Q758" t="str" cm="1">
        <f t="array" ref="Q758">_xlfn.IFS(ISBLANK(P758),"Not Specified",OR(P758="N",P758=FALSE,P758="no",P758=0),"no",TRUE,"yes")</f>
        <v>yes</v>
      </c>
      <c r="S758" t="str">
        <f t="shared" si="59"/>
        <v>Not Specified</v>
      </c>
    </row>
    <row r="759" spans="1:19">
      <c r="A759" t="s">
        <v>1600</v>
      </c>
      <c r="B759" t="s">
        <v>1601</v>
      </c>
      <c r="C759" t="s">
        <v>46</v>
      </c>
      <c r="D759" t="str" cm="1">
        <f t="array" ref="D759">_xlfn.IFS(OR(LOWER(C759)="f",LOWER(C759)="female"),"Female",TRUE,"Male")</f>
        <v>Female</v>
      </c>
      <c r="E759">
        <v>37</v>
      </c>
      <c r="F759">
        <f t="shared" si="55"/>
        <v>37</v>
      </c>
      <c r="G759" t="s">
        <v>22</v>
      </c>
      <c r="H759" t="s">
        <v>23</v>
      </c>
      <c r="I759" t="s">
        <v>96</v>
      </c>
      <c r="K759" t="str">
        <f t="shared" si="56"/>
        <v>Not Specified</v>
      </c>
      <c r="L759" t="s">
        <v>59</v>
      </c>
      <c r="M759" t="str">
        <f t="shared" si="57"/>
        <v> 75</v>
      </c>
      <c r="N759">
        <v>3.5</v>
      </c>
      <c r="O759" s="3">
        <f t="shared" si="58"/>
        <v>3.5</v>
      </c>
      <c r="P759" t="s">
        <v>38</v>
      </c>
      <c r="Q759" t="str" cm="1">
        <f t="array" ref="Q759">_xlfn.IFS(ISBLANK(P759),"Not Specified",OR(P759="N",P759=FALSE,P759="no",P759=0),"no",TRUE,"yes")</f>
        <v>no</v>
      </c>
      <c r="R759" s="5">
        <v>0.75</v>
      </c>
      <c r="S759">
        <f t="shared" si="59"/>
        <v>75</v>
      </c>
    </row>
    <row r="760" spans="1:19">
      <c r="A760" t="s">
        <v>1602</v>
      </c>
      <c r="B760" t="s">
        <v>1603</v>
      </c>
      <c r="C760" t="s">
        <v>99</v>
      </c>
      <c r="D760" t="str" cm="1">
        <f t="array" ref="D760">_xlfn.IFS(OR(LOWER(C760)="f",LOWER(C760)="female"),"Female",TRUE,"Male")</f>
        <v>Male</v>
      </c>
      <c r="E760">
        <v>31</v>
      </c>
      <c r="F760">
        <f t="shared" si="55"/>
        <v>31</v>
      </c>
      <c r="G760" t="s">
        <v>28</v>
      </c>
      <c r="H760" t="s">
        <v>29</v>
      </c>
      <c r="I760" t="s">
        <v>51</v>
      </c>
      <c r="J760">
        <v>1</v>
      </c>
      <c r="K760">
        <f t="shared" si="56"/>
        <v>1</v>
      </c>
      <c r="L760">
        <v>40</v>
      </c>
      <c r="M760" t="str">
        <f t="shared" si="57"/>
        <v>40</v>
      </c>
      <c r="N760">
        <v>4.5</v>
      </c>
      <c r="O760" s="3">
        <f t="shared" si="58"/>
        <v>4.5</v>
      </c>
      <c r="P760">
        <v>0</v>
      </c>
      <c r="Q760" t="str" cm="1">
        <f t="array" ref="Q760">_xlfn.IFS(ISBLANK(P760),"Not Specified",OR(P760="N",P760=FALSE,P760="no",P760=0),"no",TRUE,"yes")</f>
        <v>no</v>
      </c>
      <c r="R760" s="5">
        <v>0.96</v>
      </c>
      <c r="S760">
        <f t="shared" si="59"/>
        <v>96</v>
      </c>
    </row>
    <row r="761" spans="1:19">
      <c r="A761" t="s">
        <v>1604</v>
      </c>
      <c r="B761" t="s">
        <v>1605</v>
      </c>
      <c r="C761" t="s">
        <v>68</v>
      </c>
      <c r="D761" t="str" cm="1">
        <f t="array" ref="D761">_xlfn.IFS(OR(LOWER(C761)="f",LOWER(C761)="female"),"Female",TRUE,"Male")</f>
        <v>Male</v>
      </c>
      <c r="E761">
        <v>51</v>
      </c>
      <c r="F761">
        <f t="shared" si="55"/>
        <v>51</v>
      </c>
      <c r="G761" t="s">
        <v>119</v>
      </c>
      <c r="H761" t="s">
        <v>120</v>
      </c>
      <c r="I761" t="s">
        <v>30</v>
      </c>
      <c r="J761">
        <v>5</v>
      </c>
      <c r="K761">
        <f t="shared" si="56"/>
        <v>5</v>
      </c>
      <c r="L761" t="s">
        <v>62</v>
      </c>
      <c r="M761" t="str">
        <f t="shared" si="57"/>
        <v> 40</v>
      </c>
      <c r="N761">
        <v>1.7</v>
      </c>
      <c r="O761" s="3">
        <f t="shared" si="58"/>
        <v>1.7</v>
      </c>
      <c r="P761" t="s">
        <v>75</v>
      </c>
      <c r="Q761" t="str" cm="1">
        <f t="array" ref="Q761">_xlfn.IFS(ISBLANK(P761),"Not Specified",OR(P761="N",P761=FALSE,P761="no",P761=0),"no",TRUE,"yes")</f>
        <v>yes</v>
      </c>
      <c r="R761" s="5">
        <v>0.61</v>
      </c>
      <c r="S761">
        <f t="shared" si="59"/>
        <v>61</v>
      </c>
    </row>
    <row r="762" spans="1:19">
      <c r="A762" t="s">
        <v>1606</v>
      </c>
      <c r="B762" t="s">
        <v>1607</v>
      </c>
      <c r="C762" t="s">
        <v>55</v>
      </c>
      <c r="D762" t="str" cm="1">
        <f t="array" ref="D762">_xlfn.IFS(OR(LOWER(C762)="f",LOWER(C762)="female"),"Female",TRUE,"Male")</f>
        <v>Male</v>
      </c>
      <c r="E762">
        <v>60</v>
      </c>
      <c r="F762">
        <f t="shared" si="55"/>
        <v>60</v>
      </c>
      <c r="G762" t="s">
        <v>182</v>
      </c>
      <c r="H762" t="s">
        <v>183</v>
      </c>
      <c r="I762" t="s">
        <v>96</v>
      </c>
      <c r="J762">
        <v>40</v>
      </c>
      <c r="K762">
        <f t="shared" si="56"/>
        <v>40</v>
      </c>
      <c r="L762">
        <v>50</v>
      </c>
      <c r="M762" t="str">
        <f t="shared" si="57"/>
        <v>50</v>
      </c>
      <c r="N762">
        <v>4.6</v>
      </c>
      <c r="O762" s="3">
        <f t="shared" si="58"/>
        <v>4.6</v>
      </c>
      <c r="P762" t="b">
        <v>1</v>
      </c>
      <c r="Q762" t="str" cm="1">
        <f t="array" ref="Q762">_xlfn.IFS(ISBLANK(P762),"Not Specified",OR(P762="N",P762=FALSE,P762="no",P762=0),"no",TRUE,"yes")</f>
        <v>yes</v>
      </c>
      <c r="R762" s="5">
        <v>1</v>
      </c>
      <c r="S762">
        <f t="shared" si="59"/>
        <v>100</v>
      </c>
    </row>
    <row r="763" spans="1:19">
      <c r="A763" t="s">
        <v>1608</v>
      </c>
      <c r="B763" t="s">
        <v>1609</v>
      </c>
      <c r="C763" t="s">
        <v>99</v>
      </c>
      <c r="D763" t="str" cm="1">
        <f t="array" ref="D763">_xlfn.IFS(OR(LOWER(C763)="f",LOWER(C763)="female"),"Female",TRUE,"Male")</f>
        <v>Male</v>
      </c>
      <c r="E763">
        <v>51</v>
      </c>
      <c r="F763">
        <f t="shared" si="55"/>
        <v>51</v>
      </c>
      <c r="G763" t="s">
        <v>135</v>
      </c>
      <c r="H763" t="s">
        <v>29</v>
      </c>
      <c r="I763" t="s">
        <v>24</v>
      </c>
      <c r="J763">
        <v>19</v>
      </c>
      <c r="K763">
        <f t="shared" si="56"/>
        <v>19</v>
      </c>
      <c r="L763">
        <v>50</v>
      </c>
      <c r="M763" t="str">
        <f t="shared" si="57"/>
        <v>50</v>
      </c>
      <c r="O763" s="3" t="str">
        <f t="shared" si="58"/>
        <v>Not Specified</v>
      </c>
      <c r="P763" t="s">
        <v>81</v>
      </c>
      <c r="Q763" t="str" cm="1">
        <f t="array" ref="Q763">_xlfn.IFS(ISBLANK(P763),"Not Specified",OR(P763="N",P763=FALSE,P763="no",P763=0),"no",TRUE,"yes")</f>
        <v>yes</v>
      </c>
      <c r="R763" s="5">
        <v>0.82</v>
      </c>
      <c r="S763">
        <f t="shared" si="59"/>
        <v>82</v>
      </c>
    </row>
    <row r="764" spans="1:19">
      <c r="A764" t="s">
        <v>1610</v>
      </c>
      <c r="B764" t="s">
        <v>1611</v>
      </c>
      <c r="C764" t="s">
        <v>55</v>
      </c>
      <c r="D764" t="str" cm="1">
        <f t="array" ref="D764">_xlfn.IFS(OR(LOWER(C764)="f",LOWER(C764)="female"),"Female",TRUE,"Male")</f>
        <v>Male</v>
      </c>
      <c r="E764">
        <v>37</v>
      </c>
      <c r="F764">
        <f t="shared" si="55"/>
        <v>37</v>
      </c>
      <c r="G764" t="s">
        <v>35</v>
      </c>
      <c r="H764" t="s">
        <v>36</v>
      </c>
      <c r="I764" t="s">
        <v>37</v>
      </c>
      <c r="J764">
        <v>12</v>
      </c>
      <c r="K764">
        <f t="shared" si="56"/>
        <v>12</v>
      </c>
      <c r="M764" t="str">
        <f t="shared" si="57"/>
        <v>Not Specified</v>
      </c>
      <c r="N764">
        <v>4.9</v>
      </c>
      <c r="O764" s="3">
        <f t="shared" si="58"/>
        <v>4.9</v>
      </c>
      <c r="P764">
        <v>1</v>
      </c>
      <c r="Q764" t="str" cm="1">
        <f t="array" ref="Q764">_xlfn.IFS(ISBLANK(P764),"Not Specified",OR(P764="N",P764=FALSE,P764="no",P764=0),"no",TRUE,"yes")</f>
        <v>yes</v>
      </c>
      <c r="R764" s="5">
        <v>0.8</v>
      </c>
      <c r="S764">
        <f t="shared" si="59"/>
        <v>80</v>
      </c>
    </row>
    <row r="765" spans="1:19">
      <c r="A765" t="s">
        <v>1612</v>
      </c>
      <c r="B765" t="s">
        <v>1613</v>
      </c>
      <c r="C765" t="s">
        <v>34</v>
      </c>
      <c r="D765" t="str" cm="1">
        <f t="array" ref="D765">_xlfn.IFS(OR(LOWER(C765)="f",LOWER(C765)="female"),"Female",TRUE,"Male")</f>
        <v>Male</v>
      </c>
      <c r="E765">
        <v>52</v>
      </c>
      <c r="F765">
        <f t="shared" si="55"/>
        <v>52</v>
      </c>
      <c r="G765" t="s">
        <v>100</v>
      </c>
      <c r="H765" t="s">
        <v>101</v>
      </c>
      <c r="I765" t="s">
        <v>24</v>
      </c>
      <c r="J765">
        <v>7</v>
      </c>
      <c r="K765">
        <f t="shared" si="56"/>
        <v>7</v>
      </c>
      <c r="L765">
        <v>40</v>
      </c>
      <c r="M765" t="str">
        <f t="shared" si="57"/>
        <v>40</v>
      </c>
      <c r="N765">
        <v>2.2</v>
      </c>
      <c r="O765" s="3">
        <f t="shared" si="58"/>
        <v>2.2</v>
      </c>
      <c r="Q765" t="str" cm="1">
        <f t="array" ref="Q765">_xlfn.IFS(ISBLANK(P765),"Not Specified",OR(P765="N",P765=FALSE,P765="no",P765=0),"no",TRUE,"yes")</f>
        <v>Not Specified</v>
      </c>
      <c r="R765" s="5">
        <v>0.96</v>
      </c>
      <c r="S765">
        <f t="shared" si="59"/>
        <v>96</v>
      </c>
    </row>
    <row r="766" spans="1:19">
      <c r="A766" t="s">
        <v>1614</v>
      </c>
      <c r="B766" t="s">
        <v>1615</v>
      </c>
      <c r="C766" t="s">
        <v>55</v>
      </c>
      <c r="D766" t="str" cm="1">
        <f t="array" ref="D766">_xlfn.IFS(OR(LOWER(C766)="f",LOWER(C766)="female"),"Female",TRUE,"Male")</f>
        <v>Male</v>
      </c>
      <c r="E766">
        <v>27</v>
      </c>
      <c r="F766">
        <f t="shared" si="55"/>
        <v>27</v>
      </c>
      <c r="G766" t="s">
        <v>56</v>
      </c>
      <c r="H766" t="s">
        <v>57</v>
      </c>
      <c r="I766" t="s">
        <v>24</v>
      </c>
      <c r="J766">
        <v>4</v>
      </c>
      <c r="K766">
        <f t="shared" si="56"/>
        <v>4</v>
      </c>
      <c r="L766">
        <v>20</v>
      </c>
      <c r="M766" t="str">
        <f t="shared" si="57"/>
        <v>20</v>
      </c>
      <c r="O766" s="3" t="str">
        <f t="shared" si="58"/>
        <v>Not Specified</v>
      </c>
      <c r="P766">
        <v>0</v>
      </c>
      <c r="Q766" t="str" cm="1">
        <f t="array" ref="Q766">_xlfn.IFS(ISBLANK(P766),"Not Specified",OR(P766="N",P766=FALSE,P766="no",P766=0),"no",TRUE,"yes")</f>
        <v>no</v>
      </c>
      <c r="R766" s="5">
        <v>0.63</v>
      </c>
      <c r="S766">
        <f t="shared" si="59"/>
        <v>63</v>
      </c>
    </row>
    <row r="767" spans="1:19">
      <c r="A767" t="s">
        <v>1616</v>
      </c>
      <c r="B767" t="s">
        <v>1617</v>
      </c>
      <c r="C767" t="s">
        <v>55</v>
      </c>
      <c r="D767" t="str" cm="1">
        <f t="array" ref="D767">_xlfn.IFS(OR(LOWER(C767)="f",LOWER(C767)="female"),"Female",TRUE,"Male")</f>
        <v>Male</v>
      </c>
      <c r="E767">
        <v>48</v>
      </c>
      <c r="F767">
        <f t="shared" si="55"/>
        <v>48</v>
      </c>
      <c r="G767" t="s">
        <v>28</v>
      </c>
      <c r="H767" t="s">
        <v>29</v>
      </c>
      <c r="I767" t="s">
        <v>37</v>
      </c>
      <c r="J767">
        <v>24</v>
      </c>
      <c r="K767">
        <f t="shared" si="56"/>
        <v>24</v>
      </c>
      <c r="L767" t="s">
        <v>43</v>
      </c>
      <c r="M767" t="str">
        <f t="shared" si="57"/>
        <v>40</v>
      </c>
      <c r="N767">
        <v>2.2</v>
      </c>
      <c r="O767" s="3">
        <f t="shared" si="58"/>
        <v>2.2</v>
      </c>
      <c r="P767">
        <v>0</v>
      </c>
      <c r="Q767" t="str" cm="1">
        <f t="array" ref="Q767">_xlfn.IFS(ISBLANK(P767),"Not Specified",OR(P767="N",P767=FALSE,P767="no",P767=0),"no",TRUE,"yes")</f>
        <v>no</v>
      </c>
      <c r="R767" s="5">
        <v>0.67</v>
      </c>
      <c r="S767">
        <f t="shared" si="59"/>
        <v>67</v>
      </c>
    </row>
    <row r="768" spans="1:19">
      <c r="A768" t="s">
        <v>1618</v>
      </c>
      <c r="B768" t="s">
        <v>1619</v>
      </c>
      <c r="C768" t="s">
        <v>41</v>
      </c>
      <c r="D768" t="str" cm="1">
        <f t="array" ref="D768">_xlfn.IFS(OR(LOWER(C768)="f",LOWER(C768)="female"),"Female",TRUE,"Male")</f>
        <v>Female</v>
      </c>
      <c r="E768">
        <v>22</v>
      </c>
      <c r="F768">
        <f t="shared" si="55"/>
        <v>22</v>
      </c>
      <c r="G768" t="s">
        <v>92</v>
      </c>
      <c r="H768" t="s">
        <v>93</v>
      </c>
      <c r="I768" t="s">
        <v>58</v>
      </c>
      <c r="J768">
        <v>1</v>
      </c>
      <c r="K768">
        <f t="shared" si="56"/>
        <v>1</v>
      </c>
      <c r="L768" t="s">
        <v>116</v>
      </c>
      <c r="M768" t="str">
        <f t="shared" si="57"/>
        <v> 30</v>
      </c>
      <c r="N768">
        <v>3.3</v>
      </c>
      <c r="O768" s="3">
        <f t="shared" si="58"/>
        <v>3.3</v>
      </c>
      <c r="P768">
        <v>1</v>
      </c>
      <c r="Q768" t="str" cm="1">
        <f t="array" ref="Q768">_xlfn.IFS(ISBLANK(P768),"Not Specified",OR(P768="N",P768=FALSE,P768="no",P768=0),"no",TRUE,"yes")</f>
        <v>yes</v>
      </c>
      <c r="R768" s="5">
        <v>0.61</v>
      </c>
      <c r="S768">
        <f t="shared" si="59"/>
        <v>61</v>
      </c>
    </row>
    <row r="769" spans="1:19">
      <c r="A769" t="s">
        <v>1620</v>
      </c>
      <c r="B769" t="s">
        <v>1621</v>
      </c>
      <c r="C769" t="s">
        <v>27</v>
      </c>
      <c r="D769" t="str" cm="1">
        <f t="array" ref="D769">_xlfn.IFS(OR(LOWER(C769)="f",LOWER(C769)="female"),"Female",TRUE,"Male")</f>
        <v>Female</v>
      </c>
      <c r="E769">
        <v>48</v>
      </c>
      <c r="F769">
        <f t="shared" si="55"/>
        <v>48</v>
      </c>
      <c r="G769" t="s">
        <v>35</v>
      </c>
      <c r="H769" t="s">
        <v>36</v>
      </c>
      <c r="I769" t="s">
        <v>30</v>
      </c>
      <c r="J769">
        <v>28</v>
      </c>
      <c r="K769">
        <f t="shared" si="56"/>
        <v>28</v>
      </c>
      <c r="L769" t="s">
        <v>116</v>
      </c>
      <c r="M769" t="str">
        <f t="shared" si="57"/>
        <v> 30</v>
      </c>
      <c r="N769">
        <v>4.9</v>
      </c>
      <c r="O769" s="3">
        <f t="shared" si="58"/>
        <v>4.9</v>
      </c>
      <c r="P769">
        <v>0</v>
      </c>
      <c r="Q769" t="str" cm="1">
        <f t="array" ref="Q769">_xlfn.IFS(ISBLANK(P769),"Not Specified",OR(P769="N",P769=FALSE,P769="no",P769=0),"no",TRUE,"yes")</f>
        <v>no</v>
      </c>
      <c r="R769" s="5">
        <v>0.77</v>
      </c>
      <c r="S769">
        <f t="shared" si="59"/>
        <v>77</v>
      </c>
    </row>
    <row r="770" spans="1:19">
      <c r="A770" t="s">
        <v>1622</v>
      </c>
      <c r="B770" t="s">
        <v>1623</v>
      </c>
      <c r="C770" t="s">
        <v>41</v>
      </c>
      <c r="D770" t="str" cm="1">
        <f t="array" ref="D770">_xlfn.IFS(OR(LOWER(C770)="f",LOWER(C770)="female"),"Female",TRUE,"Male")</f>
        <v>Female</v>
      </c>
      <c r="E770">
        <v>54</v>
      </c>
      <c r="F770">
        <f t="shared" si="55"/>
        <v>54</v>
      </c>
      <c r="G770" t="s">
        <v>65</v>
      </c>
      <c r="H770" t="s">
        <v>29</v>
      </c>
      <c r="I770" t="s">
        <v>30</v>
      </c>
      <c r="J770">
        <v>19</v>
      </c>
      <c r="K770">
        <f t="shared" si="56"/>
        <v>19</v>
      </c>
      <c r="L770">
        <v>75</v>
      </c>
      <c r="M770" t="str">
        <f t="shared" si="57"/>
        <v>75</v>
      </c>
      <c r="N770">
        <v>0</v>
      </c>
      <c r="O770" s="3" t="str">
        <f t="shared" si="58"/>
        <v>Not Specified</v>
      </c>
      <c r="Q770" t="str" cm="1">
        <f t="array" ref="Q770">_xlfn.IFS(ISBLANK(P770),"Not Specified",OR(P770="N",P770=FALSE,P770="no",P770=0),"no",TRUE,"yes")</f>
        <v>Not Specified</v>
      </c>
      <c r="S770" t="str">
        <f t="shared" si="59"/>
        <v>Not Specified</v>
      </c>
    </row>
    <row r="771" spans="1:19">
      <c r="A771" t="s">
        <v>1624</v>
      </c>
      <c r="B771" t="s">
        <v>1625</v>
      </c>
      <c r="C771" t="s">
        <v>84</v>
      </c>
      <c r="D771" t="str" cm="1">
        <f t="array" ref="D771">_xlfn.IFS(OR(LOWER(C771)="f",LOWER(C771)="female"),"Female",TRUE,"Male")</f>
        <v>Female</v>
      </c>
      <c r="E771">
        <v>52</v>
      </c>
      <c r="F771">
        <f t="shared" ref="F771:F834" si="60">IF(ISNUMBER(E771),E771,"Not Specified")</f>
        <v>52</v>
      </c>
      <c r="G771" t="s">
        <v>119</v>
      </c>
      <c r="H771" t="s">
        <v>120</v>
      </c>
      <c r="I771" t="s">
        <v>58</v>
      </c>
      <c r="J771">
        <v>4</v>
      </c>
      <c r="K771">
        <f t="shared" ref="K771:K834" si="61">IF(ISNUMBER(J771),J771,"Not Specified")</f>
        <v>4</v>
      </c>
      <c r="L771">
        <v>50</v>
      </c>
      <c r="M771" t="str">
        <f t="shared" ref="M771:M834" si="62">IF(SUBSTITUTE(SUBSTITUTE(L771,"USD",""),"$","")="","Not Specified",SUBSTITUTE(SUBSTITUTE(L771,"USD",""),"$",""))</f>
        <v>50</v>
      </c>
      <c r="O771" s="3" t="str">
        <f t="shared" ref="O771:O834" si="63">IF(OR(N771="",N771=0),"Not Specified",N771)</f>
        <v>Not Specified</v>
      </c>
      <c r="P771" t="s">
        <v>38</v>
      </c>
      <c r="Q771" t="str" cm="1">
        <f t="array" ref="Q771">_xlfn.IFS(ISBLANK(P771),"Not Specified",OR(P771="N",P771=FALSE,P771="no",P771=0),"no",TRUE,"yes")</f>
        <v>no</v>
      </c>
      <c r="R771" s="5">
        <v>0.84</v>
      </c>
      <c r="S771">
        <f t="shared" ref="S771:S834" si="64">IF(ISBLANK(R771),"Not Specified",IF(R771&lt;=1,R771*100,R771))</f>
        <v>84</v>
      </c>
    </row>
    <row r="772" spans="1:19">
      <c r="A772" t="s">
        <v>1626</v>
      </c>
      <c r="B772" t="s">
        <v>1627</v>
      </c>
      <c r="C772" t="s">
        <v>46</v>
      </c>
      <c r="D772" t="str" cm="1">
        <f t="array" ref="D772">_xlfn.IFS(OR(LOWER(C772)="f",LOWER(C772)="female"),"Female",TRUE,"Male")</f>
        <v>Female</v>
      </c>
      <c r="E772">
        <v>39</v>
      </c>
      <c r="F772">
        <f t="shared" si="60"/>
        <v>39</v>
      </c>
      <c r="G772" t="s">
        <v>69</v>
      </c>
      <c r="H772" t="s">
        <v>70</v>
      </c>
      <c r="I772" t="s">
        <v>42</v>
      </c>
      <c r="J772">
        <v>20</v>
      </c>
      <c r="K772">
        <f t="shared" si="61"/>
        <v>20</v>
      </c>
      <c r="L772" t="s">
        <v>31</v>
      </c>
      <c r="M772" t="str">
        <f t="shared" si="62"/>
        <v> 100</v>
      </c>
      <c r="O772" s="3" t="str">
        <f t="shared" si="63"/>
        <v>Not Specified</v>
      </c>
      <c r="P772" t="s">
        <v>81</v>
      </c>
      <c r="Q772" t="str" cm="1">
        <f t="array" ref="Q772">_xlfn.IFS(ISBLANK(P772),"Not Specified",OR(P772="N",P772=FALSE,P772="no",P772=0),"no",TRUE,"yes")</f>
        <v>yes</v>
      </c>
      <c r="R772" s="5">
        <v>0.89</v>
      </c>
      <c r="S772">
        <f t="shared" si="64"/>
        <v>89</v>
      </c>
    </row>
    <row r="773" spans="1:19">
      <c r="A773" t="s">
        <v>1628</v>
      </c>
      <c r="B773" t="s">
        <v>1629</v>
      </c>
      <c r="C773" t="s">
        <v>21</v>
      </c>
      <c r="D773" t="str" cm="1">
        <f t="array" ref="D773">_xlfn.IFS(OR(LOWER(C773)="f",LOWER(C773)="female"),"Female",TRUE,"Male")</f>
        <v>Female</v>
      </c>
      <c r="E773">
        <v>54</v>
      </c>
      <c r="F773">
        <f t="shared" si="60"/>
        <v>54</v>
      </c>
      <c r="G773" t="s">
        <v>131</v>
      </c>
      <c r="H773" t="s">
        <v>132</v>
      </c>
      <c r="I773" t="s">
        <v>30</v>
      </c>
      <c r="J773">
        <v>19</v>
      </c>
      <c r="K773">
        <f t="shared" si="61"/>
        <v>19</v>
      </c>
      <c r="L773" t="s">
        <v>116</v>
      </c>
      <c r="M773" t="str">
        <f t="shared" si="62"/>
        <v> 30</v>
      </c>
      <c r="N773">
        <v>4</v>
      </c>
      <c r="O773" s="3">
        <f t="shared" si="63"/>
        <v>4</v>
      </c>
      <c r="Q773" t="str" cm="1">
        <f t="array" ref="Q773">_xlfn.IFS(ISBLANK(P773),"Not Specified",OR(P773="N",P773=FALSE,P773="no",P773=0),"no",TRUE,"yes")</f>
        <v>Not Specified</v>
      </c>
      <c r="R773" s="5">
        <v>0.9</v>
      </c>
      <c r="S773">
        <f t="shared" si="64"/>
        <v>90</v>
      </c>
    </row>
    <row r="774" spans="1:19">
      <c r="A774" t="s">
        <v>1630</v>
      </c>
      <c r="B774" t="s">
        <v>1631</v>
      </c>
      <c r="C774" t="s">
        <v>84</v>
      </c>
      <c r="D774" t="str" cm="1">
        <f t="array" ref="D774">_xlfn.IFS(OR(LOWER(C774)="f",LOWER(C774)="female"),"Female",TRUE,"Male")</f>
        <v>Female</v>
      </c>
      <c r="E774">
        <v>22</v>
      </c>
      <c r="F774">
        <f t="shared" si="60"/>
        <v>22</v>
      </c>
      <c r="G774" t="s">
        <v>65</v>
      </c>
      <c r="H774" t="s">
        <v>29</v>
      </c>
      <c r="I774" t="s">
        <v>85</v>
      </c>
      <c r="J774">
        <v>1</v>
      </c>
      <c r="K774">
        <f t="shared" si="61"/>
        <v>1</v>
      </c>
      <c r="L774">
        <v>20</v>
      </c>
      <c r="M774" t="str">
        <f t="shared" si="62"/>
        <v>20</v>
      </c>
      <c r="N774">
        <v>4.8</v>
      </c>
      <c r="O774" s="3">
        <f t="shared" si="63"/>
        <v>4.8</v>
      </c>
      <c r="P774" t="b">
        <v>0</v>
      </c>
      <c r="Q774" t="str" cm="1">
        <f t="array" ref="Q774">_xlfn.IFS(ISBLANK(P774),"Not Specified",OR(P774="N",P774=FALSE,P774="no",P774=0),"no",TRUE,"yes")</f>
        <v>no</v>
      </c>
      <c r="R774" s="5">
        <v>0.87</v>
      </c>
      <c r="S774">
        <f t="shared" si="64"/>
        <v>87</v>
      </c>
    </row>
    <row r="775" spans="1:19">
      <c r="A775" t="s">
        <v>1632</v>
      </c>
      <c r="B775" t="s">
        <v>1633</v>
      </c>
      <c r="C775" t="s">
        <v>27</v>
      </c>
      <c r="D775" t="str" cm="1">
        <f t="array" ref="D775">_xlfn.IFS(OR(LOWER(C775)="f",LOWER(C775)="female"),"Female",TRUE,"Male")</f>
        <v>Female</v>
      </c>
      <c r="E775">
        <v>29</v>
      </c>
      <c r="F775">
        <f t="shared" si="60"/>
        <v>29</v>
      </c>
      <c r="G775" t="s">
        <v>160</v>
      </c>
      <c r="H775" t="s">
        <v>161</v>
      </c>
      <c r="I775" t="s">
        <v>30</v>
      </c>
      <c r="J775">
        <v>8</v>
      </c>
      <c r="K775">
        <f t="shared" si="61"/>
        <v>8</v>
      </c>
      <c r="L775">
        <v>50</v>
      </c>
      <c r="M775" t="str">
        <f t="shared" si="62"/>
        <v>50</v>
      </c>
      <c r="N775">
        <v>0</v>
      </c>
      <c r="O775" s="3" t="str">
        <f t="shared" si="63"/>
        <v>Not Specified</v>
      </c>
      <c r="P775">
        <v>0</v>
      </c>
      <c r="Q775" t="str" cm="1">
        <f t="array" ref="Q775">_xlfn.IFS(ISBLANK(P775),"Not Specified",OR(P775="N",P775=FALSE,P775="no",P775=0),"no",TRUE,"yes")</f>
        <v>no</v>
      </c>
      <c r="R775" s="5">
        <v>0.77</v>
      </c>
      <c r="S775">
        <f t="shared" si="64"/>
        <v>77</v>
      </c>
    </row>
    <row r="776" spans="1:19">
      <c r="A776" t="s">
        <v>1634</v>
      </c>
      <c r="B776" t="s">
        <v>1635</v>
      </c>
      <c r="C776" t="s">
        <v>99</v>
      </c>
      <c r="D776" t="str" cm="1">
        <f t="array" ref="D776">_xlfn.IFS(OR(LOWER(C776)="f",LOWER(C776)="female"),"Female",TRUE,"Male")</f>
        <v>Male</v>
      </c>
      <c r="E776">
        <v>23</v>
      </c>
      <c r="F776">
        <f t="shared" si="60"/>
        <v>23</v>
      </c>
      <c r="G776" t="s">
        <v>197</v>
      </c>
      <c r="H776" t="s">
        <v>79</v>
      </c>
      <c r="I776" t="s">
        <v>96</v>
      </c>
      <c r="J776">
        <v>3</v>
      </c>
      <c r="K776">
        <f t="shared" si="61"/>
        <v>3</v>
      </c>
      <c r="L776" t="s">
        <v>116</v>
      </c>
      <c r="M776" t="str">
        <f t="shared" si="62"/>
        <v> 30</v>
      </c>
      <c r="N776">
        <v>1.6</v>
      </c>
      <c r="O776" s="3">
        <f t="shared" si="63"/>
        <v>1.6</v>
      </c>
      <c r="P776" t="s">
        <v>81</v>
      </c>
      <c r="Q776" t="str" cm="1">
        <f t="array" ref="Q776">_xlfn.IFS(ISBLANK(P776),"Not Specified",OR(P776="N",P776=FALSE,P776="no",P776=0),"no",TRUE,"yes")</f>
        <v>yes</v>
      </c>
      <c r="R776" s="5">
        <v>0.72</v>
      </c>
      <c r="S776">
        <f t="shared" si="64"/>
        <v>72</v>
      </c>
    </row>
    <row r="777" spans="1:19">
      <c r="A777" t="s">
        <v>1636</v>
      </c>
      <c r="B777" t="s">
        <v>1637</v>
      </c>
      <c r="C777" t="s">
        <v>41</v>
      </c>
      <c r="D777" t="str" cm="1">
        <f t="array" ref="D777">_xlfn.IFS(OR(LOWER(C777)="f",LOWER(C777)="female"),"Female",TRUE,"Male")</f>
        <v>Female</v>
      </c>
      <c r="E777">
        <v>58</v>
      </c>
      <c r="F777">
        <f t="shared" si="60"/>
        <v>58</v>
      </c>
      <c r="G777" t="s">
        <v>186</v>
      </c>
      <c r="H777" t="s">
        <v>79</v>
      </c>
      <c r="I777" t="s">
        <v>96</v>
      </c>
      <c r="J777">
        <v>30</v>
      </c>
      <c r="K777">
        <f t="shared" si="61"/>
        <v>30</v>
      </c>
      <c r="L777">
        <v>50</v>
      </c>
      <c r="M777" t="str">
        <f t="shared" si="62"/>
        <v>50</v>
      </c>
      <c r="N777">
        <v>1.3</v>
      </c>
      <c r="O777" s="3">
        <f t="shared" si="63"/>
        <v>1.3</v>
      </c>
      <c r="P777" t="s">
        <v>75</v>
      </c>
      <c r="Q777" t="str" cm="1">
        <f t="array" ref="Q777">_xlfn.IFS(ISBLANK(P777),"Not Specified",OR(P777="N",P777=FALSE,P777="no",P777=0),"no",TRUE,"yes")</f>
        <v>yes</v>
      </c>
      <c r="R777" s="5">
        <v>0.87</v>
      </c>
      <c r="S777">
        <f t="shared" si="64"/>
        <v>87</v>
      </c>
    </row>
    <row r="778" spans="1:19">
      <c r="A778" t="s">
        <v>1638</v>
      </c>
      <c r="B778" t="s">
        <v>1639</v>
      </c>
      <c r="C778" t="s">
        <v>21</v>
      </c>
      <c r="D778" t="str" cm="1">
        <f t="array" ref="D778">_xlfn.IFS(OR(LOWER(C778)="f",LOWER(C778)="female"),"Female",TRUE,"Male")</f>
        <v>Female</v>
      </c>
      <c r="E778">
        <v>56</v>
      </c>
      <c r="F778">
        <f t="shared" si="60"/>
        <v>56</v>
      </c>
      <c r="G778" t="s">
        <v>182</v>
      </c>
      <c r="H778" t="s">
        <v>183</v>
      </c>
      <c r="I778" t="s">
        <v>24</v>
      </c>
      <c r="J778">
        <v>3</v>
      </c>
      <c r="K778">
        <f t="shared" si="61"/>
        <v>3</v>
      </c>
      <c r="L778">
        <v>40</v>
      </c>
      <c r="M778" t="str">
        <f t="shared" si="62"/>
        <v>40</v>
      </c>
      <c r="N778">
        <v>4.1</v>
      </c>
      <c r="O778" s="3">
        <f t="shared" si="63"/>
        <v>4.1</v>
      </c>
      <c r="P778" t="b">
        <v>1</v>
      </c>
      <c r="Q778" t="str" cm="1">
        <f t="array" ref="Q778">_xlfn.IFS(ISBLANK(P778),"Not Specified",OR(P778="N",P778=FALSE,P778="no",P778=0),"no",TRUE,"yes")</f>
        <v>yes</v>
      </c>
      <c r="R778" s="5">
        <v>0.89</v>
      </c>
      <c r="S778">
        <f t="shared" si="64"/>
        <v>89</v>
      </c>
    </row>
    <row r="779" spans="1:19">
      <c r="A779" t="s">
        <v>1640</v>
      </c>
      <c r="B779" t="s">
        <v>1641</v>
      </c>
      <c r="C779" t="s">
        <v>99</v>
      </c>
      <c r="D779" t="str" cm="1">
        <f t="array" ref="D779">_xlfn.IFS(OR(LOWER(C779)="f",LOWER(C779)="female"),"Female",TRUE,"Male")</f>
        <v>Male</v>
      </c>
      <c r="E779">
        <v>48</v>
      </c>
      <c r="F779">
        <f t="shared" si="60"/>
        <v>48</v>
      </c>
      <c r="G779" t="s">
        <v>69</v>
      </c>
      <c r="H779" t="s">
        <v>70</v>
      </c>
      <c r="I779" t="s">
        <v>42</v>
      </c>
      <c r="J779">
        <v>19</v>
      </c>
      <c r="K779">
        <f t="shared" si="61"/>
        <v>19</v>
      </c>
      <c r="L779">
        <v>40</v>
      </c>
      <c r="M779" t="str">
        <f t="shared" si="62"/>
        <v>40</v>
      </c>
      <c r="N779">
        <v>1.5</v>
      </c>
      <c r="O779" s="3">
        <f t="shared" si="63"/>
        <v>1.5</v>
      </c>
      <c r="P779">
        <v>0</v>
      </c>
      <c r="Q779" t="str" cm="1">
        <f t="array" ref="Q779">_xlfn.IFS(ISBLANK(P779),"Not Specified",OR(P779="N",P779=FALSE,P779="no",P779=0),"no",TRUE,"yes")</f>
        <v>no</v>
      </c>
      <c r="R779" s="5">
        <v>0.87</v>
      </c>
      <c r="S779">
        <f t="shared" si="64"/>
        <v>87</v>
      </c>
    </row>
    <row r="780" spans="1:19">
      <c r="A780" t="s">
        <v>1642</v>
      </c>
      <c r="B780" t="s">
        <v>1643</v>
      </c>
      <c r="C780" t="s">
        <v>84</v>
      </c>
      <c r="D780" t="str" cm="1">
        <f t="array" ref="D780">_xlfn.IFS(OR(LOWER(C780)="f",LOWER(C780)="female"),"Female",TRUE,"Male")</f>
        <v>Female</v>
      </c>
      <c r="E780">
        <v>31</v>
      </c>
      <c r="F780">
        <f t="shared" si="60"/>
        <v>31</v>
      </c>
      <c r="G780" t="s">
        <v>131</v>
      </c>
      <c r="H780" t="s">
        <v>132</v>
      </c>
      <c r="I780" t="s">
        <v>30</v>
      </c>
      <c r="J780">
        <v>11</v>
      </c>
      <c r="K780">
        <f t="shared" si="61"/>
        <v>11</v>
      </c>
      <c r="L780" t="s">
        <v>62</v>
      </c>
      <c r="M780" t="str">
        <f t="shared" si="62"/>
        <v> 40</v>
      </c>
      <c r="N780">
        <v>4.3</v>
      </c>
      <c r="O780" s="3">
        <f t="shared" si="63"/>
        <v>4.3</v>
      </c>
      <c r="P780" t="s">
        <v>81</v>
      </c>
      <c r="Q780" t="str" cm="1">
        <f t="array" ref="Q780">_xlfn.IFS(ISBLANK(P780),"Not Specified",OR(P780="N",P780=FALSE,P780="no",P780=0),"no",TRUE,"yes")</f>
        <v>yes</v>
      </c>
      <c r="R780" s="5">
        <v>0.76</v>
      </c>
      <c r="S780">
        <f t="shared" si="64"/>
        <v>76</v>
      </c>
    </row>
    <row r="781" spans="1:19">
      <c r="A781" t="s">
        <v>1644</v>
      </c>
      <c r="B781" t="s">
        <v>1645</v>
      </c>
      <c r="C781" t="s">
        <v>99</v>
      </c>
      <c r="D781" t="str" cm="1">
        <f t="array" ref="D781">_xlfn.IFS(OR(LOWER(C781)="f",LOWER(C781)="female"),"Female",TRUE,"Male")</f>
        <v>Male</v>
      </c>
      <c r="E781">
        <v>44</v>
      </c>
      <c r="F781">
        <f t="shared" si="60"/>
        <v>44</v>
      </c>
      <c r="G781" t="s">
        <v>28</v>
      </c>
      <c r="H781" t="s">
        <v>29</v>
      </c>
      <c r="I781" t="s">
        <v>121</v>
      </c>
      <c r="J781">
        <v>26</v>
      </c>
      <c r="K781">
        <f t="shared" si="61"/>
        <v>26</v>
      </c>
      <c r="L781">
        <v>50</v>
      </c>
      <c r="M781" t="str">
        <f t="shared" si="62"/>
        <v>50</v>
      </c>
      <c r="N781">
        <v>1.6</v>
      </c>
      <c r="O781" s="3">
        <f t="shared" si="63"/>
        <v>1.6</v>
      </c>
      <c r="Q781" t="str" cm="1">
        <f t="array" ref="Q781">_xlfn.IFS(ISBLANK(P781),"Not Specified",OR(P781="N",P781=FALSE,P781="no",P781=0),"no",TRUE,"yes")</f>
        <v>Not Specified</v>
      </c>
      <c r="R781" s="5">
        <v>1</v>
      </c>
      <c r="S781">
        <f t="shared" si="64"/>
        <v>100</v>
      </c>
    </row>
    <row r="782" spans="1:19">
      <c r="A782" t="s">
        <v>1646</v>
      </c>
      <c r="B782" t="s">
        <v>1647</v>
      </c>
      <c r="C782" t="s">
        <v>41</v>
      </c>
      <c r="D782" t="str" cm="1">
        <f t="array" ref="D782">_xlfn.IFS(OR(LOWER(C782)="f",LOWER(C782)="female"),"Female",TRUE,"Male")</f>
        <v>Female</v>
      </c>
      <c r="E782">
        <v>42</v>
      </c>
      <c r="F782">
        <f t="shared" si="60"/>
        <v>42</v>
      </c>
      <c r="G782" t="s">
        <v>146</v>
      </c>
      <c r="H782" t="s">
        <v>147</v>
      </c>
      <c r="I782" t="s">
        <v>30</v>
      </c>
      <c r="J782">
        <v>10</v>
      </c>
      <c r="K782">
        <f t="shared" si="61"/>
        <v>10</v>
      </c>
      <c r="L782">
        <v>100</v>
      </c>
      <c r="M782" t="str">
        <f t="shared" si="62"/>
        <v>100</v>
      </c>
      <c r="N782">
        <v>3.7</v>
      </c>
      <c r="O782" s="3">
        <f t="shared" si="63"/>
        <v>3.7</v>
      </c>
      <c r="P782" t="s">
        <v>81</v>
      </c>
      <c r="Q782" t="str" cm="1">
        <f t="array" ref="Q782">_xlfn.IFS(ISBLANK(P782),"Not Specified",OR(P782="N",P782=FALSE,P782="no",P782=0),"no",TRUE,"yes")</f>
        <v>yes</v>
      </c>
      <c r="R782" s="5">
        <v>0.94</v>
      </c>
      <c r="S782">
        <f t="shared" si="64"/>
        <v>94</v>
      </c>
    </row>
    <row r="783" spans="1:19">
      <c r="A783" t="s">
        <v>1648</v>
      </c>
      <c r="B783" t="s">
        <v>1649</v>
      </c>
      <c r="C783" t="s">
        <v>104</v>
      </c>
      <c r="D783" t="str" cm="1">
        <f t="array" ref="D783">_xlfn.IFS(OR(LOWER(C783)="f",LOWER(C783)="female"),"Female",TRUE,"Male")</f>
        <v>Male</v>
      </c>
      <c r="E783">
        <v>59</v>
      </c>
      <c r="F783">
        <f t="shared" si="60"/>
        <v>59</v>
      </c>
      <c r="G783" t="s">
        <v>65</v>
      </c>
      <c r="H783" t="s">
        <v>29</v>
      </c>
      <c r="I783" t="s">
        <v>85</v>
      </c>
      <c r="J783">
        <v>17</v>
      </c>
      <c r="K783">
        <f t="shared" si="61"/>
        <v>17</v>
      </c>
      <c r="L783">
        <v>50</v>
      </c>
      <c r="M783" t="str">
        <f t="shared" si="62"/>
        <v>50</v>
      </c>
      <c r="N783">
        <v>1.4</v>
      </c>
      <c r="O783" s="3">
        <f t="shared" si="63"/>
        <v>1.4</v>
      </c>
      <c r="P783" t="s">
        <v>75</v>
      </c>
      <c r="Q783" t="str" cm="1">
        <f t="array" ref="Q783">_xlfn.IFS(ISBLANK(P783),"Not Specified",OR(P783="N",P783=FALSE,P783="no",P783=0),"no",TRUE,"yes")</f>
        <v>yes</v>
      </c>
      <c r="S783" t="str">
        <f t="shared" si="64"/>
        <v>Not Specified</v>
      </c>
    </row>
    <row r="784" spans="1:19">
      <c r="A784" t="s">
        <v>1650</v>
      </c>
      <c r="B784" t="s">
        <v>1651</v>
      </c>
      <c r="C784" t="s">
        <v>41</v>
      </c>
      <c r="D784" t="str" cm="1">
        <f t="array" ref="D784">_xlfn.IFS(OR(LOWER(C784)="f",LOWER(C784)="female"),"Female",TRUE,"Male")</f>
        <v>Female</v>
      </c>
      <c r="F784" t="str">
        <f t="shared" si="60"/>
        <v>Not Specified</v>
      </c>
      <c r="G784" t="s">
        <v>78</v>
      </c>
      <c r="H784" t="s">
        <v>79</v>
      </c>
      <c r="I784" t="s">
        <v>24</v>
      </c>
      <c r="J784">
        <v>9</v>
      </c>
      <c r="K784">
        <f t="shared" si="61"/>
        <v>9</v>
      </c>
      <c r="L784" t="s">
        <v>236</v>
      </c>
      <c r="M784" t="str">
        <f t="shared" si="62"/>
        <v>100</v>
      </c>
      <c r="N784">
        <v>4.5</v>
      </c>
      <c r="O784" s="3">
        <f t="shared" si="63"/>
        <v>4.5</v>
      </c>
      <c r="P784" t="s">
        <v>81</v>
      </c>
      <c r="Q784" t="str" cm="1">
        <f t="array" ref="Q784">_xlfn.IFS(ISBLANK(P784),"Not Specified",OR(P784="N",P784=FALSE,P784="no",P784=0),"no",TRUE,"yes")</f>
        <v>yes</v>
      </c>
      <c r="R784">
        <v>83</v>
      </c>
      <c r="S784">
        <f t="shared" si="64"/>
        <v>83</v>
      </c>
    </row>
    <row r="785" spans="1:19">
      <c r="A785" t="s">
        <v>1652</v>
      </c>
      <c r="B785" t="s">
        <v>1653</v>
      </c>
      <c r="C785" t="s">
        <v>99</v>
      </c>
      <c r="D785" t="str" cm="1">
        <f t="array" ref="D785">_xlfn.IFS(OR(LOWER(C785)="f",LOWER(C785)="female"),"Female",TRUE,"Male")</f>
        <v>Male</v>
      </c>
      <c r="E785">
        <v>21</v>
      </c>
      <c r="F785">
        <f t="shared" si="60"/>
        <v>21</v>
      </c>
      <c r="G785" t="s">
        <v>182</v>
      </c>
      <c r="H785" t="s">
        <v>183</v>
      </c>
      <c r="I785" t="s">
        <v>58</v>
      </c>
      <c r="J785">
        <v>0</v>
      </c>
      <c r="K785">
        <f t="shared" si="61"/>
        <v>0</v>
      </c>
      <c r="L785" t="s">
        <v>62</v>
      </c>
      <c r="M785" t="str">
        <f t="shared" si="62"/>
        <v> 40</v>
      </c>
      <c r="N785">
        <v>3.7</v>
      </c>
      <c r="O785" s="3">
        <f t="shared" si="63"/>
        <v>3.7</v>
      </c>
      <c r="P785">
        <v>0</v>
      </c>
      <c r="Q785" t="str" cm="1">
        <f t="array" ref="Q785">_xlfn.IFS(ISBLANK(P785),"Not Specified",OR(P785="N",P785=FALSE,P785="no",P785=0),"no",TRUE,"yes")</f>
        <v>no</v>
      </c>
      <c r="R785" s="5">
        <v>0.74</v>
      </c>
      <c r="S785">
        <f t="shared" si="64"/>
        <v>74</v>
      </c>
    </row>
    <row r="786" spans="1:19">
      <c r="A786" t="s">
        <v>1654</v>
      </c>
      <c r="B786" t="s">
        <v>1655</v>
      </c>
      <c r="C786" t="s">
        <v>104</v>
      </c>
      <c r="D786" t="str" cm="1">
        <f t="array" ref="D786">_xlfn.IFS(OR(LOWER(C786)="f",LOWER(C786)="female"),"Female",TRUE,"Male")</f>
        <v>Male</v>
      </c>
      <c r="E786">
        <v>53</v>
      </c>
      <c r="F786">
        <f t="shared" si="60"/>
        <v>53</v>
      </c>
      <c r="G786" t="s">
        <v>74</v>
      </c>
      <c r="H786" t="s">
        <v>29</v>
      </c>
      <c r="I786" t="s">
        <v>96</v>
      </c>
      <c r="J786">
        <v>5</v>
      </c>
      <c r="K786">
        <f t="shared" si="61"/>
        <v>5</v>
      </c>
      <c r="L786">
        <v>75</v>
      </c>
      <c r="M786" t="str">
        <f t="shared" si="62"/>
        <v>75</v>
      </c>
      <c r="N786">
        <v>1.1</v>
      </c>
      <c r="O786" s="3">
        <f t="shared" si="63"/>
        <v>1.1</v>
      </c>
      <c r="P786">
        <v>0</v>
      </c>
      <c r="Q786" t="str" cm="1">
        <f t="array" ref="Q786">_xlfn.IFS(ISBLANK(P786),"Not Specified",OR(P786="N",P786=FALSE,P786="no",P786=0),"no",TRUE,"yes")</f>
        <v>no</v>
      </c>
      <c r="R786">
        <v>92</v>
      </c>
      <c r="S786">
        <f t="shared" si="64"/>
        <v>92</v>
      </c>
    </row>
    <row r="787" spans="1:19">
      <c r="A787" t="s">
        <v>1656</v>
      </c>
      <c r="B787" t="s">
        <v>1657</v>
      </c>
      <c r="C787" t="s">
        <v>99</v>
      </c>
      <c r="D787" t="str" cm="1">
        <f t="array" ref="D787">_xlfn.IFS(OR(LOWER(C787)="f",LOWER(C787)="female"),"Female",TRUE,"Male")</f>
        <v>Male</v>
      </c>
      <c r="E787">
        <v>35</v>
      </c>
      <c r="F787">
        <f t="shared" si="60"/>
        <v>35</v>
      </c>
      <c r="G787" t="s">
        <v>78</v>
      </c>
      <c r="H787" t="s">
        <v>79</v>
      </c>
      <c r="I787" t="s">
        <v>30</v>
      </c>
      <c r="J787">
        <v>15</v>
      </c>
      <c r="K787">
        <f t="shared" si="61"/>
        <v>15</v>
      </c>
      <c r="M787" t="str">
        <f t="shared" si="62"/>
        <v>Not Specified</v>
      </c>
      <c r="N787">
        <v>3.7</v>
      </c>
      <c r="O787" s="3">
        <f t="shared" si="63"/>
        <v>3.7</v>
      </c>
      <c r="P787" t="b">
        <v>0</v>
      </c>
      <c r="Q787" t="str" cm="1">
        <f t="array" ref="Q787">_xlfn.IFS(ISBLANK(P787),"Not Specified",OR(P787="N",P787=FALSE,P787="no",P787=0),"no",TRUE,"yes")</f>
        <v>no</v>
      </c>
      <c r="R787" s="5">
        <v>0.66</v>
      </c>
      <c r="S787">
        <f t="shared" si="64"/>
        <v>66</v>
      </c>
    </row>
    <row r="788" spans="1:19">
      <c r="A788" t="s">
        <v>1658</v>
      </c>
      <c r="B788" t="s">
        <v>1659</v>
      </c>
      <c r="C788" t="s">
        <v>84</v>
      </c>
      <c r="D788" t="str" cm="1">
        <f t="array" ref="D788">_xlfn.IFS(OR(LOWER(C788)="f",LOWER(C788)="female"),"Female",TRUE,"Male")</f>
        <v>Female</v>
      </c>
      <c r="E788">
        <v>25</v>
      </c>
      <c r="F788">
        <f t="shared" si="60"/>
        <v>25</v>
      </c>
      <c r="G788" t="s">
        <v>114</v>
      </c>
      <c r="H788" t="s">
        <v>115</v>
      </c>
      <c r="I788" t="s">
        <v>121</v>
      </c>
      <c r="J788">
        <v>3</v>
      </c>
      <c r="K788">
        <f t="shared" si="61"/>
        <v>3</v>
      </c>
      <c r="L788" t="s">
        <v>71</v>
      </c>
      <c r="M788" t="str">
        <f t="shared" si="62"/>
        <v>50</v>
      </c>
      <c r="N788">
        <v>3.2</v>
      </c>
      <c r="O788" s="3">
        <f t="shared" si="63"/>
        <v>3.2</v>
      </c>
      <c r="P788" t="b">
        <v>1</v>
      </c>
      <c r="Q788" t="str" cm="1">
        <f t="array" ref="Q788">_xlfn.IFS(ISBLANK(P788),"Not Specified",OR(P788="N",P788=FALSE,P788="no",P788=0),"no",TRUE,"yes")</f>
        <v>yes</v>
      </c>
      <c r="R788" s="5">
        <v>0.74</v>
      </c>
      <c r="S788">
        <f t="shared" si="64"/>
        <v>74</v>
      </c>
    </row>
    <row r="789" spans="1:19">
      <c r="A789" t="s">
        <v>1660</v>
      </c>
      <c r="B789" t="s">
        <v>1661</v>
      </c>
      <c r="C789" t="s">
        <v>46</v>
      </c>
      <c r="D789" t="str" cm="1">
        <f t="array" ref="D789">_xlfn.IFS(OR(LOWER(C789)="f",LOWER(C789)="female"),"Female",TRUE,"Male")</f>
        <v>Female</v>
      </c>
      <c r="E789">
        <v>23</v>
      </c>
      <c r="F789">
        <f t="shared" si="60"/>
        <v>23</v>
      </c>
      <c r="G789" t="s">
        <v>22</v>
      </c>
      <c r="H789" t="s">
        <v>23</v>
      </c>
      <c r="I789" t="s">
        <v>80</v>
      </c>
      <c r="J789">
        <v>1</v>
      </c>
      <c r="K789">
        <f t="shared" si="61"/>
        <v>1</v>
      </c>
      <c r="L789">
        <v>30</v>
      </c>
      <c r="M789" t="str">
        <f t="shared" si="62"/>
        <v>30</v>
      </c>
      <c r="N789">
        <v>5</v>
      </c>
      <c r="O789" s="3">
        <f t="shared" si="63"/>
        <v>5</v>
      </c>
      <c r="P789" t="s">
        <v>38</v>
      </c>
      <c r="Q789" t="str" cm="1">
        <f t="array" ref="Q789">_xlfn.IFS(ISBLANK(P789),"Not Specified",OR(P789="N",P789=FALSE,P789="no",P789=0),"no",TRUE,"yes")</f>
        <v>no</v>
      </c>
      <c r="R789" s="5">
        <v>0.97</v>
      </c>
      <c r="S789">
        <f t="shared" si="64"/>
        <v>97</v>
      </c>
    </row>
    <row r="790" spans="1:19">
      <c r="A790" t="s">
        <v>1662</v>
      </c>
      <c r="B790" t="s">
        <v>1663</v>
      </c>
      <c r="C790" t="s">
        <v>41</v>
      </c>
      <c r="D790" t="str" cm="1">
        <f t="array" ref="D790">_xlfn.IFS(OR(LOWER(C790)="f",LOWER(C790)="female"),"Female",TRUE,"Male")</f>
        <v>Female</v>
      </c>
      <c r="E790">
        <v>56</v>
      </c>
      <c r="F790">
        <f t="shared" si="60"/>
        <v>56</v>
      </c>
      <c r="G790" t="s">
        <v>146</v>
      </c>
      <c r="H790" t="s">
        <v>147</v>
      </c>
      <c r="I790" t="s">
        <v>37</v>
      </c>
      <c r="J790">
        <v>13</v>
      </c>
      <c r="K790">
        <f t="shared" si="61"/>
        <v>13</v>
      </c>
      <c r="L790">
        <v>30</v>
      </c>
      <c r="M790" t="str">
        <f t="shared" si="62"/>
        <v>30</v>
      </c>
      <c r="N790">
        <v>0</v>
      </c>
      <c r="O790" s="3" t="str">
        <f t="shared" si="63"/>
        <v>Not Specified</v>
      </c>
      <c r="Q790" t="str" cm="1">
        <f t="array" ref="Q790">_xlfn.IFS(ISBLANK(P790),"Not Specified",OR(P790="N",P790=FALSE,P790="no",P790=0),"no",TRUE,"yes")</f>
        <v>Not Specified</v>
      </c>
      <c r="R790">
        <v>77</v>
      </c>
      <c r="S790">
        <f t="shared" si="64"/>
        <v>77</v>
      </c>
    </row>
    <row r="791" spans="1:19">
      <c r="A791" t="s">
        <v>1664</v>
      </c>
      <c r="B791" t="s">
        <v>1665</v>
      </c>
      <c r="C791" t="s">
        <v>46</v>
      </c>
      <c r="D791" t="str" cm="1">
        <f t="array" ref="D791">_xlfn.IFS(OR(LOWER(C791)="f",LOWER(C791)="female"),"Female",TRUE,"Male")</f>
        <v>Female</v>
      </c>
      <c r="E791">
        <v>31</v>
      </c>
      <c r="F791">
        <f t="shared" si="60"/>
        <v>31</v>
      </c>
      <c r="G791" t="s">
        <v>186</v>
      </c>
      <c r="H791" t="s">
        <v>79</v>
      </c>
      <c r="I791" t="s">
        <v>80</v>
      </c>
      <c r="J791">
        <v>6</v>
      </c>
      <c r="K791">
        <f t="shared" si="61"/>
        <v>6</v>
      </c>
      <c r="M791" t="str">
        <f t="shared" si="62"/>
        <v>Not Specified</v>
      </c>
      <c r="N791">
        <v>3.5</v>
      </c>
      <c r="O791" s="3">
        <f t="shared" si="63"/>
        <v>3.5</v>
      </c>
      <c r="P791" t="s">
        <v>166</v>
      </c>
      <c r="Q791" t="str" cm="1">
        <f t="array" ref="Q791">_xlfn.IFS(ISBLANK(P791),"Not Specified",OR(P791="N",P791=FALSE,P791="no",P791=0),"no",TRUE,"yes")</f>
        <v>no</v>
      </c>
      <c r="R791" s="5">
        <v>0.86</v>
      </c>
      <c r="S791">
        <f t="shared" si="64"/>
        <v>86</v>
      </c>
    </row>
    <row r="792" spans="1:19">
      <c r="A792" t="s">
        <v>1666</v>
      </c>
      <c r="B792" t="s">
        <v>1667</v>
      </c>
      <c r="C792" t="s">
        <v>99</v>
      </c>
      <c r="D792" t="str" cm="1">
        <f t="array" ref="D792">_xlfn.IFS(OR(LOWER(C792)="f",LOWER(C792)="female"),"Female",TRUE,"Male")</f>
        <v>Male</v>
      </c>
      <c r="E792">
        <v>24</v>
      </c>
      <c r="F792">
        <f t="shared" si="60"/>
        <v>24</v>
      </c>
      <c r="G792" t="s">
        <v>65</v>
      </c>
      <c r="H792" t="s">
        <v>29</v>
      </c>
      <c r="I792" t="s">
        <v>85</v>
      </c>
      <c r="J792">
        <v>4</v>
      </c>
      <c r="K792">
        <f t="shared" si="61"/>
        <v>4</v>
      </c>
      <c r="L792">
        <v>50</v>
      </c>
      <c r="M792" t="str">
        <f t="shared" si="62"/>
        <v>50</v>
      </c>
      <c r="N792">
        <v>3.1</v>
      </c>
      <c r="O792" s="3">
        <f t="shared" si="63"/>
        <v>3.1</v>
      </c>
      <c r="P792" t="b">
        <v>0</v>
      </c>
      <c r="Q792" t="str" cm="1">
        <f t="array" ref="Q792">_xlfn.IFS(ISBLANK(P792),"Not Specified",OR(P792="N",P792=FALSE,P792="no",P792=0),"no",TRUE,"yes")</f>
        <v>no</v>
      </c>
      <c r="R792" s="5">
        <v>0.95</v>
      </c>
      <c r="S792">
        <f t="shared" si="64"/>
        <v>95</v>
      </c>
    </row>
    <row r="793" spans="1:19">
      <c r="A793" t="s">
        <v>1668</v>
      </c>
      <c r="B793" t="s">
        <v>1669</v>
      </c>
      <c r="C793" t="s">
        <v>27</v>
      </c>
      <c r="D793" t="str" cm="1">
        <f t="array" ref="D793">_xlfn.IFS(OR(LOWER(C793)="f",LOWER(C793)="female"),"Female",TRUE,"Male")</f>
        <v>Female</v>
      </c>
      <c r="E793">
        <v>35</v>
      </c>
      <c r="F793">
        <f t="shared" si="60"/>
        <v>35</v>
      </c>
      <c r="G793" t="s">
        <v>114</v>
      </c>
      <c r="H793" t="s">
        <v>115</v>
      </c>
      <c r="I793" t="s">
        <v>85</v>
      </c>
      <c r="J793">
        <v>7</v>
      </c>
      <c r="K793">
        <f t="shared" si="61"/>
        <v>7</v>
      </c>
      <c r="M793" t="str">
        <f t="shared" si="62"/>
        <v>Not Specified</v>
      </c>
      <c r="N793">
        <v>3.9</v>
      </c>
      <c r="O793" s="3">
        <f t="shared" si="63"/>
        <v>3.9</v>
      </c>
      <c r="P793">
        <v>0</v>
      </c>
      <c r="Q793" t="str" cm="1">
        <f t="array" ref="Q793">_xlfn.IFS(ISBLANK(P793),"Not Specified",OR(P793="N",P793=FALSE,P793="no",P793=0),"no",TRUE,"yes")</f>
        <v>no</v>
      </c>
      <c r="R793" s="5">
        <v>0.72</v>
      </c>
      <c r="S793">
        <f t="shared" si="64"/>
        <v>72</v>
      </c>
    </row>
    <row r="794" spans="1:19">
      <c r="A794" t="s">
        <v>1670</v>
      </c>
      <c r="B794" t="s">
        <v>1671</v>
      </c>
      <c r="C794" t="s">
        <v>27</v>
      </c>
      <c r="D794" t="str" cm="1">
        <f t="array" ref="D794">_xlfn.IFS(OR(LOWER(C794)="f",LOWER(C794)="female"),"Female",TRUE,"Male")</f>
        <v>Female</v>
      </c>
      <c r="E794">
        <v>20</v>
      </c>
      <c r="F794">
        <f t="shared" si="60"/>
        <v>20</v>
      </c>
      <c r="G794" t="s">
        <v>197</v>
      </c>
      <c r="H794" t="s">
        <v>79</v>
      </c>
      <c r="I794" t="s">
        <v>51</v>
      </c>
      <c r="J794">
        <v>1</v>
      </c>
      <c r="K794">
        <f t="shared" si="61"/>
        <v>1</v>
      </c>
      <c r="M794" t="str">
        <f t="shared" si="62"/>
        <v>Not Specified</v>
      </c>
      <c r="N794">
        <v>3.5</v>
      </c>
      <c r="O794" s="3">
        <f t="shared" si="63"/>
        <v>3.5</v>
      </c>
      <c r="P794">
        <v>0</v>
      </c>
      <c r="Q794" t="str" cm="1">
        <f t="array" ref="Q794">_xlfn.IFS(ISBLANK(P794),"Not Specified",OR(P794="N",P794=FALSE,P794="no",P794=0),"no",TRUE,"yes")</f>
        <v>no</v>
      </c>
      <c r="R794" s="5">
        <v>0.71</v>
      </c>
      <c r="S794">
        <f t="shared" si="64"/>
        <v>71</v>
      </c>
    </row>
    <row r="795" spans="1:19">
      <c r="A795" t="s">
        <v>1672</v>
      </c>
      <c r="B795" t="s">
        <v>1673</v>
      </c>
      <c r="C795" t="s">
        <v>104</v>
      </c>
      <c r="D795" t="str" cm="1">
        <f t="array" ref="D795">_xlfn.IFS(OR(LOWER(C795)="f",LOWER(C795)="female"),"Female",TRUE,"Male")</f>
        <v>Male</v>
      </c>
      <c r="E795">
        <v>26</v>
      </c>
      <c r="F795">
        <f t="shared" si="60"/>
        <v>26</v>
      </c>
      <c r="G795" t="s">
        <v>28</v>
      </c>
      <c r="H795" t="s">
        <v>29</v>
      </c>
      <c r="I795" t="s">
        <v>58</v>
      </c>
      <c r="J795">
        <v>5</v>
      </c>
      <c r="K795">
        <f t="shared" si="61"/>
        <v>5</v>
      </c>
      <c r="L795" t="s">
        <v>236</v>
      </c>
      <c r="M795" t="str">
        <f t="shared" si="62"/>
        <v>100</v>
      </c>
      <c r="N795">
        <v>2.5</v>
      </c>
      <c r="O795" s="3">
        <f t="shared" si="63"/>
        <v>2.5</v>
      </c>
      <c r="P795" t="b">
        <v>1</v>
      </c>
      <c r="Q795" t="str" cm="1">
        <f t="array" ref="Q795">_xlfn.IFS(ISBLANK(P795),"Not Specified",OR(P795="N",P795=FALSE,P795="no",P795=0),"no",TRUE,"yes")</f>
        <v>yes</v>
      </c>
      <c r="R795" s="5">
        <v>0.93</v>
      </c>
      <c r="S795">
        <f t="shared" si="64"/>
        <v>93</v>
      </c>
    </row>
    <row r="796" spans="1:19">
      <c r="A796" t="s">
        <v>1674</v>
      </c>
      <c r="B796" t="s">
        <v>1675</v>
      </c>
      <c r="C796" t="s">
        <v>99</v>
      </c>
      <c r="D796" t="str" cm="1">
        <f t="array" ref="D796">_xlfn.IFS(OR(LOWER(C796)="f",LOWER(C796)="female"),"Female",TRUE,"Male")</f>
        <v>Male</v>
      </c>
      <c r="E796">
        <v>54</v>
      </c>
      <c r="F796">
        <f t="shared" si="60"/>
        <v>54</v>
      </c>
      <c r="G796" t="s">
        <v>74</v>
      </c>
      <c r="H796" t="s">
        <v>29</v>
      </c>
      <c r="I796" t="s">
        <v>96</v>
      </c>
      <c r="J796">
        <v>29</v>
      </c>
      <c r="K796">
        <f t="shared" si="61"/>
        <v>29</v>
      </c>
      <c r="L796" t="s">
        <v>62</v>
      </c>
      <c r="M796" t="str">
        <f t="shared" si="62"/>
        <v> 40</v>
      </c>
      <c r="N796">
        <v>3.1</v>
      </c>
      <c r="O796" s="3">
        <f t="shared" si="63"/>
        <v>3.1</v>
      </c>
      <c r="P796">
        <v>1</v>
      </c>
      <c r="Q796" t="str" cm="1">
        <f t="array" ref="Q796">_xlfn.IFS(ISBLANK(P796),"Not Specified",OR(P796="N",P796=FALSE,P796="no",P796=0),"no",TRUE,"yes")</f>
        <v>yes</v>
      </c>
      <c r="S796" t="str">
        <f t="shared" si="64"/>
        <v>Not Specified</v>
      </c>
    </row>
    <row r="797" spans="1:19">
      <c r="A797" t="s">
        <v>1676</v>
      </c>
      <c r="B797" t="s">
        <v>1677</v>
      </c>
      <c r="C797" t="s">
        <v>55</v>
      </c>
      <c r="D797" t="str" cm="1">
        <f t="array" ref="D797">_xlfn.IFS(OR(LOWER(C797)="f",LOWER(C797)="female"),"Female",TRUE,"Male")</f>
        <v>Male</v>
      </c>
      <c r="E797">
        <v>53</v>
      </c>
      <c r="F797">
        <f t="shared" si="60"/>
        <v>53</v>
      </c>
      <c r="G797" t="s">
        <v>131</v>
      </c>
      <c r="H797" t="s">
        <v>132</v>
      </c>
      <c r="I797" t="s">
        <v>85</v>
      </c>
      <c r="J797">
        <v>12</v>
      </c>
      <c r="K797">
        <f t="shared" si="61"/>
        <v>12</v>
      </c>
      <c r="L797">
        <v>100</v>
      </c>
      <c r="M797" t="str">
        <f t="shared" si="62"/>
        <v>100</v>
      </c>
      <c r="N797">
        <v>4.7</v>
      </c>
      <c r="O797" s="3">
        <f t="shared" si="63"/>
        <v>4.7</v>
      </c>
      <c r="P797">
        <v>1</v>
      </c>
      <c r="Q797" t="str" cm="1">
        <f t="array" ref="Q797">_xlfn.IFS(ISBLANK(P797),"Not Specified",OR(P797="N",P797=FALSE,P797="no",P797=0),"no",TRUE,"yes")</f>
        <v>yes</v>
      </c>
      <c r="R797" s="5">
        <v>0.87</v>
      </c>
      <c r="S797">
        <f t="shared" si="64"/>
        <v>87</v>
      </c>
    </row>
    <row r="798" spans="1:19">
      <c r="A798" t="s">
        <v>1678</v>
      </c>
      <c r="B798" t="s">
        <v>1679</v>
      </c>
      <c r="C798" t="s">
        <v>84</v>
      </c>
      <c r="D798" t="str" cm="1">
        <f t="array" ref="D798">_xlfn.IFS(OR(LOWER(C798)="f",LOWER(C798)="female"),"Female",TRUE,"Male")</f>
        <v>Female</v>
      </c>
      <c r="E798">
        <v>33</v>
      </c>
      <c r="F798">
        <f t="shared" si="60"/>
        <v>33</v>
      </c>
      <c r="G798" t="s">
        <v>135</v>
      </c>
      <c r="H798" t="s">
        <v>29</v>
      </c>
      <c r="I798" t="s">
        <v>96</v>
      </c>
      <c r="J798">
        <v>4</v>
      </c>
      <c r="K798">
        <f t="shared" si="61"/>
        <v>4</v>
      </c>
      <c r="M798" t="str">
        <f t="shared" si="62"/>
        <v>Not Specified</v>
      </c>
      <c r="N798">
        <v>1.9</v>
      </c>
      <c r="O798" s="3">
        <f t="shared" si="63"/>
        <v>1.9</v>
      </c>
      <c r="P798" t="b">
        <v>0</v>
      </c>
      <c r="Q798" t="str" cm="1">
        <f t="array" ref="Q798">_xlfn.IFS(ISBLANK(P798),"Not Specified",OR(P798="N",P798=FALSE,P798="no",P798=0),"no",TRUE,"yes")</f>
        <v>no</v>
      </c>
      <c r="R798">
        <v>73</v>
      </c>
      <c r="S798">
        <f t="shared" si="64"/>
        <v>73</v>
      </c>
    </row>
    <row r="799" spans="1:19">
      <c r="A799" t="s">
        <v>1680</v>
      </c>
      <c r="B799" t="s">
        <v>1681</v>
      </c>
      <c r="C799" t="s">
        <v>55</v>
      </c>
      <c r="D799" t="str" cm="1">
        <f t="array" ref="D799">_xlfn.IFS(OR(LOWER(C799)="f",LOWER(C799)="female"),"Female",TRUE,"Male")</f>
        <v>Male</v>
      </c>
      <c r="E799">
        <v>43</v>
      </c>
      <c r="F799">
        <f t="shared" si="60"/>
        <v>43</v>
      </c>
      <c r="G799" t="s">
        <v>49</v>
      </c>
      <c r="H799" t="s">
        <v>50</v>
      </c>
      <c r="I799" t="s">
        <v>42</v>
      </c>
      <c r="J799">
        <v>12</v>
      </c>
      <c r="K799">
        <f t="shared" si="61"/>
        <v>12</v>
      </c>
      <c r="M799" t="str">
        <f t="shared" si="62"/>
        <v>Not Specified</v>
      </c>
      <c r="N799">
        <v>1.6</v>
      </c>
      <c r="O799" s="3">
        <f t="shared" si="63"/>
        <v>1.6</v>
      </c>
      <c r="P799">
        <v>1</v>
      </c>
      <c r="Q799" t="str" cm="1">
        <f t="array" ref="Q799">_xlfn.IFS(ISBLANK(P799),"Not Specified",OR(P799="N",P799=FALSE,P799="no",P799=0),"no",TRUE,"yes")</f>
        <v>yes</v>
      </c>
      <c r="R799" s="5">
        <v>0.74</v>
      </c>
      <c r="S799">
        <f t="shared" si="64"/>
        <v>74</v>
      </c>
    </row>
    <row r="800" spans="1:19">
      <c r="A800" t="s">
        <v>1682</v>
      </c>
      <c r="B800" t="s">
        <v>1683</v>
      </c>
      <c r="C800" t="s">
        <v>99</v>
      </c>
      <c r="D800" t="str" cm="1">
        <f t="array" ref="D800">_xlfn.IFS(OR(LOWER(C800)="f",LOWER(C800)="female"),"Female",TRUE,"Male")</f>
        <v>Male</v>
      </c>
      <c r="E800">
        <v>37</v>
      </c>
      <c r="F800">
        <f t="shared" si="60"/>
        <v>37</v>
      </c>
      <c r="G800" t="s">
        <v>135</v>
      </c>
      <c r="H800" t="s">
        <v>29</v>
      </c>
      <c r="I800" t="s">
        <v>96</v>
      </c>
      <c r="J800">
        <v>3</v>
      </c>
      <c r="K800">
        <f t="shared" si="61"/>
        <v>3</v>
      </c>
      <c r="L800">
        <v>20</v>
      </c>
      <c r="M800" t="str">
        <f t="shared" si="62"/>
        <v>20</v>
      </c>
      <c r="N800">
        <v>2.5</v>
      </c>
      <c r="O800" s="3">
        <f t="shared" si="63"/>
        <v>2.5</v>
      </c>
      <c r="P800" t="s">
        <v>38</v>
      </c>
      <c r="Q800" t="str" cm="1">
        <f t="array" ref="Q800">_xlfn.IFS(ISBLANK(P800),"Not Specified",OR(P800="N",P800=FALSE,P800="no",P800=0),"no",TRUE,"yes")</f>
        <v>no</v>
      </c>
      <c r="R800" s="5">
        <v>0.62</v>
      </c>
      <c r="S800">
        <f t="shared" si="64"/>
        <v>62</v>
      </c>
    </row>
    <row r="801" spans="1:19">
      <c r="A801" t="s">
        <v>1684</v>
      </c>
      <c r="B801" t="s">
        <v>1685</v>
      </c>
      <c r="C801" t="s">
        <v>46</v>
      </c>
      <c r="D801" t="str" cm="1">
        <f t="array" ref="D801">_xlfn.IFS(OR(LOWER(C801)="f",LOWER(C801)="female"),"Female",TRUE,"Male")</f>
        <v>Female</v>
      </c>
      <c r="E801">
        <v>58</v>
      </c>
      <c r="F801">
        <f t="shared" si="60"/>
        <v>58</v>
      </c>
      <c r="G801" t="s">
        <v>142</v>
      </c>
      <c r="H801" t="s">
        <v>143</v>
      </c>
      <c r="I801" t="s">
        <v>58</v>
      </c>
      <c r="J801">
        <v>15</v>
      </c>
      <c r="K801">
        <f t="shared" si="61"/>
        <v>15</v>
      </c>
      <c r="L801">
        <v>20</v>
      </c>
      <c r="M801" t="str">
        <f t="shared" si="62"/>
        <v>20</v>
      </c>
      <c r="N801">
        <v>3.5</v>
      </c>
      <c r="O801" s="3">
        <f t="shared" si="63"/>
        <v>3.5</v>
      </c>
      <c r="Q801" t="str" cm="1">
        <f t="array" ref="Q801">_xlfn.IFS(ISBLANK(P801),"Not Specified",OR(P801="N",P801=FALSE,P801="no",P801=0),"no",TRUE,"yes")</f>
        <v>Not Specified</v>
      </c>
      <c r="R801" s="5">
        <v>0.98</v>
      </c>
      <c r="S801">
        <f t="shared" si="64"/>
        <v>98</v>
      </c>
    </row>
    <row r="802" spans="1:19">
      <c r="A802" t="s">
        <v>1686</v>
      </c>
      <c r="B802" t="s">
        <v>1687</v>
      </c>
      <c r="C802" t="s">
        <v>27</v>
      </c>
      <c r="D802" t="str" cm="1">
        <f t="array" ref="D802">_xlfn.IFS(OR(LOWER(C802)="f",LOWER(C802)="female"),"Female",TRUE,"Male")</f>
        <v>Female</v>
      </c>
      <c r="E802">
        <v>39</v>
      </c>
      <c r="F802">
        <f t="shared" si="60"/>
        <v>39</v>
      </c>
      <c r="G802" t="s">
        <v>197</v>
      </c>
      <c r="H802" t="s">
        <v>79</v>
      </c>
      <c r="I802" t="s">
        <v>30</v>
      </c>
      <c r="J802">
        <v>15</v>
      </c>
      <c r="K802">
        <f t="shared" si="61"/>
        <v>15</v>
      </c>
      <c r="L802">
        <v>50</v>
      </c>
      <c r="M802" t="str">
        <f t="shared" si="62"/>
        <v>50</v>
      </c>
      <c r="O802" s="3" t="str">
        <f t="shared" si="63"/>
        <v>Not Specified</v>
      </c>
      <c r="P802">
        <v>0</v>
      </c>
      <c r="Q802" t="str" cm="1">
        <f t="array" ref="Q802">_xlfn.IFS(ISBLANK(P802),"Not Specified",OR(P802="N",P802=FALSE,P802="no",P802=0),"no",TRUE,"yes")</f>
        <v>no</v>
      </c>
      <c r="R802" s="5">
        <v>0.8</v>
      </c>
      <c r="S802">
        <f t="shared" si="64"/>
        <v>80</v>
      </c>
    </row>
    <row r="803" spans="1:19">
      <c r="A803" t="s">
        <v>1688</v>
      </c>
      <c r="B803" t="s">
        <v>1689</v>
      </c>
      <c r="C803" t="s">
        <v>34</v>
      </c>
      <c r="D803" t="str" cm="1">
        <f t="array" ref="D803">_xlfn.IFS(OR(LOWER(C803)="f",LOWER(C803)="female"),"Female",TRUE,"Male")</f>
        <v>Male</v>
      </c>
      <c r="E803">
        <v>43</v>
      </c>
      <c r="F803">
        <f t="shared" si="60"/>
        <v>43</v>
      </c>
      <c r="G803" t="s">
        <v>69</v>
      </c>
      <c r="H803" t="s">
        <v>70</v>
      </c>
      <c r="I803" t="s">
        <v>37</v>
      </c>
      <c r="J803">
        <v>13</v>
      </c>
      <c r="K803">
        <f t="shared" si="61"/>
        <v>13</v>
      </c>
      <c r="L803" t="s">
        <v>321</v>
      </c>
      <c r="M803" t="str">
        <f t="shared" si="62"/>
        <v> 20</v>
      </c>
      <c r="N803">
        <v>1.2</v>
      </c>
      <c r="O803" s="3">
        <f t="shared" si="63"/>
        <v>1.2</v>
      </c>
      <c r="P803" t="s">
        <v>81</v>
      </c>
      <c r="Q803" t="str" cm="1">
        <f t="array" ref="Q803">_xlfn.IFS(ISBLANK(P803),"Not Specified",OR(P803="N",P803=FALSE,P803="no",P803=0),"no",TRUE,"yes")</f>
        <v>yes</v>
      </c>
      <c r="R803">
        <v>69</v>
      </c>
      <c r="S803">
        <f t="shared" si="64"/>
        <v>69</v>
      </c>
    </row>
    <row r="804" spans="1:19">
      <c r="A804" t="s">
        <v>1690</v>
      </c>
      <c r="B804" t="s">
        <v>1691</v>
      </c>
      <c r="C804" t="s">
        <v>84</v>
      </c>
      <c r="D804" t="str" cm="1">
        <f t="array" ref="D804">_xlfn.IFS(OR(LOWER(C804)="f",LOWER(C804)="female"),"Female",TRUE,"Male")</f>
        <v>Female</v>
      </c>
      <c r="E804">
        <v>40</v>
      </c>
      <c r="F804">
        <f t="shared" si="60"/>
        <v>40</v>
      </c>
      <c r="G804" t="s">
        <v>197</v>
      </c>
      <c r="H804" t="s">
        <v>79</v>
      </c>
      <c r="I804" t="s">
        <v>24</v>
      </c>
      <c r="J804">
        <v>20</v>
      </c>
      <c r="K804">
        <f t="shared" si="61"/>
        <v>20</v>
      </c>
      <c r="L804" t="s">
        <v>116</v>
      </c>
      <c r="M804" t="str">
        <f t="shared" si="62"/>
        <v> 30</v>
      </c>
      <c r="O804" s="3" t="str">
        <f t="shared" si="63"/>
        <v>Not Specified</v>
      </c>
      <c r="P804" t="b">
        <v>0</v>
      </c>
      <c r="Q804" t="str" cm="1">
        <f t="array" ref="Q804">_xlfn.IFS(ISBLANK(P804),"Not Specified",OR(P804="N",P804=FALSE,P804="no",P804=0),"no",TRUE,"yes")</f>
        <v>no</v>
      </c>
      <c r="R804">
        <v>90</v>
      </c>
      <c r="S804">
        <f t="shared" si="64"/>
        <v>90</v>
      </c>
    </row>
    <row r="805" spans="1:19">
      <c r="A805" t="s">
        <v>1692</v>
      </c>
      <c r="B805" t="s">
        <v>1693</v>
      </c>
      <c r="C805" t="s">
        <v>21</v>
      </c>
      <c r="D805" t="str" cm="1">
        <f t="array" ref="D805">_xlfn.IFS(OR(LOWER(C805)="f",LOWER(C805)="female"),"Female",TRUE,"Male")</f>
        <v>Female</v>
      </c>
      <c r="E805">
        <v>51</v>
      </c>
      <c r="F805">
        <f t="shared" si="60"/>
        <v>51</v>
      </c>
      <c r="G805" t="s">
        <v>74</v>
      </c>
      <c r="H805" t="s">
        <v>29</v>
      </c>
      <c r="I805" t="s">
        <v>121</v>
      </c>
      <c r="J805">
        <v>30</v>
      </c>
      <c r="K805">
        <f t="shared" si="61"/>
        <v>30</v>
      </c>
      <c r="L805">
        <v>75</v>
      </c>
      <c r="M805" t="str">
        <f t="shared" si="62"/>
        <v>75</v>
      </c>
      <c r="O805" s="3" t="str">
        <f t="shared" si="63"/>
        <v>Not Specified</v>
      </c>
      <c r="P805" t="b">
        <v>1</v>
      </c>
      <c r="Q805" t="str" cm="1">
        <f t="array" ref="Q805">_xlfn.IFS(ISBLANK(P805),"Not Specified",OR(P805="N",P805=FALSE,P805="no",P805=0),"no",TRUE,"yes")</f>
        <v>yes</v>
      </c>
      <c r="R805" s="5">
        <v>0.74</v>
      </c>
      <c r="S805">
        <f t="shared" si="64"/>
        <v>74</v>
      </c>
    </row>
    <row r="806" spans="1:19">
      <c r="A806" t="s">
        <v>1694</v>
      </c>
      <c r="B806" t="s">
        <v>1695</v>
      </c>
      <c r="C806" t="s">
        <v>34</v>
      </c>
      <c r="D806" t="str" cm="1">
        <f t="array" ref="D806">_xlfn.IFS(OR(LOWER(C806)="f",LOWER(C806)="female"),"Female",TRUE,"Male")</f>
        <v>Male</v>
      </c>
      <c r="E806">
        <v>23</v>
      </c>
      <c r="F806">
        <f t="shared" si="60"/>
        <v>23</v>
      </c>
      <c r="G806" t="s">
        <v>35</v>
      </c>
      <c r="H806" t="s">
        <v>36</v>
      </c>
      <c r="I806" t="s">
        <v>51</v>
      </c>
      <c r="J806">
        <v>4</v>
      </c>
      <c r="K806">
        <f t="shared" si="61"/>
        <v>4</v>
      </c>
      <c r="L806">
        <v>50</v>
      </c>
      <c r="M806" t="str">
        <f t="shared" si="62"/>
        <v>50</v>
      </c>
      <c r="N806">
        <v>4.5</v>
      </c>
      <c r="O806" s="3">
        <f t="shared" si="63"/>
        <v>4.5</v>
      </c>
      <c r="P806" t="s">
        <v>38</v>
      </c>
      <c r="Q806" t="str" cm="1">
        <f t="array" ref="Q806">_xlfn.IFS(ISBLANK(P806),"Not Specified",OR(P806="N",P806=FALSE,P806="no",P806=0),"no",TRUE,"yes")</f>
        <v>no</v>
      </c>
      <c r="R806" s="5">
        <v>0.98</v>
      </c>
      <c r="S806">
        <f t="shared" si="64"/>
        <v>98</v>
      </c>
    </row>
    <row r="807" spans="1:19">
      <c r="A807" t="s">
        <v>1696</v>
      </c>
      <c r="B807" t="s">
        <v>1697</v>
      </c>
      <c r="C807" t="s">
        <v>21</v>
      </c>
      <c r="D807" t="str" cm="1">
        <f t="array" ref="D807">_xlfn.IFS(OR(LOWER(C807)="f",LOWER(C807)="female"),"Female",TRUE,"Male")</f>
        <v>Female</v>
      </c>
      <c r="E807">
        <v>31</v>
      </c>
      <c r="F807">
        <f t="shared" si="60"/>
        <v>31</v>
      </c>
      <c r="G807" t="s">
        <v>56</v>
      </c>
      <c r="H807" t="s">
        <v>57</v>
      </c>
      <c r="I807" t="s">
        <v>37</v>
      </c>
      <c r="K807" t="str">
        <f t="shared" si="61"/>
        <v>Not Specified</v>
      </c>
      <c r="L807" t="s">
        <v>321</v>
      </c>
      <c r="M807" t="str">
        <f t="shared" si="62"/>
        <v> 20</v>
      </c>
      <c r="O807" s="3" t="str">
        <f t="shared" si="63"/>
        <v>Not Specified</v>
      </c>
      <c r="P807" t="s">
        <v>81</v>
      </c>
      <c r="Q807" t="str" cm="1">
        <f t="array" ref="Q807">_xlfn.IFS(ISBLANK(P807),"Not Specified",OR(P807="N",P807=FALSE,P807="no",P807=0),"no",TRUE,"yes")</f>
        <v>yes</v>
      </c>
      <c r="R807" s="5">
        <v>0.84</v>
      </c>
      <c r="S807">
        <f t="shared" si="64"/>
        <v>84</v>
      </c>
    </row>
    <row r="808" spans="1:19">
      <c r="A808" t="s">
        <v>1698</v>
      </c>
      <c r="B808" t="s">
        <v>1699</v>
      </c>
      <c r="C808" t="s">
        <v>27</v>
      </c>
      <c r="D808" t="str" cm="1">
        <f t="array" ref="D808">_xlfn.IFS(OR(LOWER(C808)="f",LOWER(C808)="female"),"Female",TRUE,"Male")</f>
        <v>Female</v>
      </c>
      <c r="E808">
        <v>44</v>
      </c>
      <c r="F808">
        <f t="shared" si="60"/>
        <v>44</v>
      </c>
      <c r="G808" t="s">
        <v>131</v>
      </c>
      <c r="H808" t="s">
        <v>132</v>
      </c>
      <c r="I808" t="s">
        <v>42</v>
      </c>
      <c r="J808">
        <v>3</v>
      </c>
      <c r="K808">
        <f t="shared" si="61"/>
        <v>3</v>
      </c>
      <c r="L808" t="s">
        <v>128</v>
      </c>
      <c r="M808" t="str">
        <f t="shared" si="62"/>
        <v>20</v>
      </c>
      <c r="N808">
        <v>5</v>
      </c>
      <c r="O808" s="3">
        <f t="shared" si="63"/>
        <v>5</v>
      </c>
      <c r="P808" t="s">
        <v>75</v>
      </c>
      <c r="Q808" t="str" cm="1">
        <f t="array" ref="Q808">_xlfn.IFS(ISBLANK(P808),"Not Specified",OR(P808="N",P808=FALSE,P808="no",P808=0),"no",TRUE,"yes")</f>
        <v>yes</v>
      </c>
      <c r="R808" s="5">
        <v>0.75</v>
      </c>
      <c r="S808">
        <f t="shared" si="64"/>
        <v>75</v>
      </c>
    </row>
    <row r="809" spans="1:19">
      <c r="A809" t="s">
        <v>1700</v>
      </c>
      <c r="B809" t="s">
        <v>1701</v>
      </c>
      <c r="C809" t="s">
        <v>104</v>
      </c>
      <c r="D809" t="str" cm="1">
        <f t="array" ref="D809">_xlfn.IFS(OR(LOWER(C809)="f",LOWER(C809)="female"),"Female",TRUE,"Male")</f>
        <v>Male</v>
      </c>
      <c r="E809">
        <v>56</v>
      </c>
      <c r="F809">
        <f t="shared" si="60"/>
        <v>56</v>
      </c>
      <c r="G809" t="s">
        <v>35</v>
      </c>
      <c r="H809" t="s">
        <v>36</v>
      </c>
      <c r="I809" t="s">
        <v>30</v>
      </c>
      <c r="J809">
        <v>23</v>
      </c>
      <c r="K809">
        <f t="shared" si="61"/>
        <v>23</v>
      </c>
      <c r="L809">
        <v>75</v>
      </c>
      <c r="M809" t="str">
        <f t="shared" si="62"/>
        <v>75</v>
      </c>
      <c r="N809">
        <v>3.9</v>
      </c>
      <c r="O809" s="3">
        <f t="shared" si="63"/>
        <v>3.9</v>
      </c>
      <c r="P809">
        <v>1</v>
      </c>
      <c r="Q809" t="str" cm="1">
        <f t="array" ref="Q809">_xlfn.IFS(ISBLANK(P809),"Not Specified",OR(P809="N",P809=FALSE,P809="no",P809=0),"no",TRUE,"yes")</f>
        <v>yes</v>
      </c>
      <c r="S809" t="str">
        <f t="shared" si="64"/>
        <v>Not Specified</v>
      </c>
    </row>
    <row r="810" spans="1:19">
      <c r="A810" t="s">
        <v>1702</v>
      </c>
      <c r="B810" t="s">
        <v>1703</v>
      </c>
      <c r="C810" t="s">
        <v>27</v>
      </c>
      <c r="D810" t="str" cm="1">
        <f t="array" ref="D810">_xlfn.IFS(OR(LOWER(C810)="f",LOWER(C810)="female"),"Female",TRUE,"Male")</f>
        <v>Female</v>
      </c>
      <c r="E810">
        <v>48</v>
      </c>
      <c r="F810">
        <f t="shared" si="60"/>
        <v>48</v>
      </c>
      <c r="G810" t="s">
        <v>28</v>
      </c>
      <c r="H810" t="s">
        <v>29</v>
      </c>
      <c r="I810" t="s">
        <v>85</v>
      </c>
      <c r="J810">
        <v>5</v>
      </c>
      <c r="K810">
        <f t="shared" si="61"/>
        <v>5</v>
      </c>
      <c r="L810" t="s">
        <v>236</v>
      </c>
      <c r="M810" t="str">
        <f t="shared" si="62"/>
        <v>100</v>
      </c>
      <c r="N810">
        <v>1.8</v>
      </c>
      <c r="O810" s="3">
        <f t="shared" si="63"/>
        <v>1.8</v>
      </c>
      <c r="P810" t="b">
        <v>1</v>
      </c>
      <c r="Q810" t="str" cm="1">
        <f t="array" ref="Q810">_xlfn.IFS(ISBLANK(P810),"Not Specified",OR(P810="N",P810=FALSE,P810="no",P810=0),"no",TRUE,"yes")</f>
        <v>yes</v>
      </c>
      <c r="R810" s="5">
        <v>0.97</v>
      </c>
      <c r="S810">
        <f t="shared" si="64"/>
        <v>97</v>
      </c>
    </row>
    <row r="811" spans="1:19">
      <c r="A811" t="s">
        <v>1704</v>
      </c>
      <c r="B811" t="s">
        <v>1705</v>
      </c>
      <c r="C811" t="s">
        <v>21</v>
      </c>
      <c r="D811" t="str" cm="1">
        <f t="array" ref="D811">_xlfn.IFS(OR(LOWER(C811)="f",LOWER(C811)="female"),"Female",TRUE,"Male")</f>
        <v>Female</v>
      </c>
      <c r="E811">
        <v>46</v>
      </c>
      <c r="F811">
        <f t="shared" si="60"/>
        <v>46</v>
      </c>
      <c r="G811" t="s">
        <v>131</v>
      </c>
      <c r="H811" t="s">
        <v>132</v>
      </c>
      <c r="I811" t="s">
        <v>42</v>
      </c>
      <c r="J811">
        <v>28</v>
      </c>
      <c r="K811">
        <f t="shared" si="61"/>
        <v>28</v>
      </c>
      <c r="L811">
        <v>30</v>
      </c>
      <c r="M811" t="str">
        <f t="shared" si="62"/>
        <v>30</v>
      </c>
      <c r="N811">
        <v>4.2</v>
      </c>
      <c r="O811" s="3">
        <f t="shared" si="63"/>
        <v>4.2</v>
      </c>
      <c r="P811" t="b">
        <v>1</v>
      </c>
      <c r="Q811" t="str" cm="1">
        <f t="array" ref="Q811">_xlfn.IFS(ISBLANK(P811),"Not Specified",OR(P811="N",P811=FALSE,P811="no",P811=0),"no",TRUE,"yes")</f>
        <v>yes</v>
      </c>
      <c r="S811" t="str">
        <f t="shared" si="64"/>
        <v>Not Specified</v>
      </c>
    </row>
    <row r="812" spans="1:19">
      <c r="A812" t="s">
        <v>1706</v>
      </c>
      <c r="B812" t="s">
        <v>1707</v>
      </c>
      <c r="C812" t="s">
        <v>99</v>
      </c>
      <c r="D812" t="str" cm="1">
        <f t="array" ref="D812">_xlfn.IFS(OR(LOWER(C812)="f",LOWER(C812)="female"),"Female",TRUE,"Male")</f>
        <v>Male</v>
      </c>
      <c r="E812">
        <v>21</v>
      </c>
      <c r="F812">
        <f t="shared" si="60"/>
        <v>21</v>
      </c>
      <c r="G812" t="s">
        <v>146</v>
      </c>
      <c r="H812" t="s">
        <v>147</v>
      </c>
      <c r="I812" t="s">
        <v>51</v>
      </c>
      <c r="J812">
        <v>0</v>
      </c>
      <c r="K812">
        <f t="shared" si="61"/>
        <v>0</v>
      </c>
      <c r="L812">
        <v>20</v>
      </c>
      <c r="M812" t="str">
        <f t="shared" si="62"/>
        <v>20</v>
      </c>
      <c r="N812">
        <v>2.6</v>
      </c>
      <c r="O812" s="3">
        <f t="shared" si="63"/>
        <v>2.6</v>
      </c>
      <c r="P812" t="s">
        <v>166</v>
      </c>
      <c r="Q812" t="str" cm="1">
        <f t="array" ref="Q812">_xlfn.IFS(ISBLANK(P812),"Not Specified",OR(P812="N",P812=FALSE,P812="no",P812=0),"no",TRUE,"yes")</f>
        <v>no</v>
      </c>
      <c r="R812" s="5">
        <v>0.64</v>
      </c>
      <c r="S812">
        <f t="shared" si="64"/>
        <v>64</v>
      </c>
    </row>
    <row r="813" spans="1:19">
      <c r="A813" t="s">
        <v>1708</v>
      </c>
      <c r="B813" t="s">
        <v>1709</v>
      </c>
      <c r="C813" t="s">
        <v>55</v>
      </c>
      <c r="D813" t="str" cm="1">
        <f t="array" ref="D813">_xlfn.IFS(OR(LOWER(C813)="f",LOWER(C813)="female"),"Female",TRUE,"Male")</f>
        <v>Male</v>
      </c>
      <c r="E813">
        <v>52</v>
      </c>
      <c r="F813">
        <f t="shared" si="60"/>
        <v>52</v>
      </c>
      <c r="G813" t="s">
        <v>131</v>
      </c>
      <c r="H813" t="s">
        <v>132</v>
      </c>
      <c r="I813" t="s">
        <v>58</v>
      </c>
      <c r="J813">
        <v>30</v>
      </c>
      <c r="K813">
        <f t="shared" si="61"/>
        <v>30</v>
      </c>
      <c r="L813">
        <v>30</v>
      </c>
      <c r="M813" t="str">
        <f t="shared" si="62"/>
        <v>30</v>
      </c>
      <c r="N813">
        <v>2</v>
      </c>
      <c r="O813" s="3">
        <f t="shared" si="63"/>
        <v>2</v>
      </c>
      <c r="P813">
        <v>1</v>
      </c>
      <c r="Q813" t="str" cm="1">
        <f t="array" ref="Q813">_xlfn.IFS(ISBLANK(P813),"Not Specified",OR(P813="N",P813=FALSE,P813="no",P813=0),"no",TRUE,"yes")</f>
        <v>yes</v>
      </c>
      <c r="R813" s="5">
        <v>0.68</v>
      </c>
      <c r="S813">
        <f t="shared" si="64"/>
        <v>68</v>
      </c>
    </row>
    <row r="814" spans="1:19">
      <c r="A814" t="s">
        <v>1710</v>
      </c>
      <c r="B814" t="s">
        <v>1711</v>
      </c>
      <c r="C814" t="s">
        <v>21</v>
      </c>
      <c r="D814" t="str" cm="1">
        <f t="array" ref="D814">_xlfn.IFS(OR(LOWER(C814)="f",LOWER(C814)="female"),"Female",TRUE,"Male")</f>
        <v>Female</v>
      </c>
      <c r="E814">
        <v>39</v>
      </c>
      <c r="F814">
        <f t="shared" si="60"/>
        <v>39</v>
      </c>
      <c r="G814" t="s">
        <v>131</v>
      </c>
      <c r="H814" t="s">
        <v>132</v>
      </c>
      <c r="I814" t="s">
        <v>37</v>
      </c>
      <c r="J814">
        <v>20</v>
      </c>
      <c r="K814">
        <f t="shared" si="61"/>
        <v>20</v>
      </c>
      <c r="L814" t="s">
        <v>177</v>
      </c>
      <c r="M814" t="str">
        <f t="shared" si="62"/>
        <v>75</v>
      </c>
      <c r="N814">
        <v>2.7</v>
      </c>
      <c r="O814" s="3">
        <f t="shared" si="63"/>
        <v>2.7</v>
      </c>
      <c r="P814">
        <v>1</v>
      </c>
      <c r="Q814" t="str" cm="1">
        <f t="array" ref="Q814">_xlfn.IFS(ISBLANK(P814),"Not Specified",OR(P814="N",P814=FALSE,P814="no",P814=0),"no",TRUE,"yes")</f>
        <v>yes</v>
      </c>
      <c r="R814" s="5">
        <v>0.67</v>
      </c>
      <c r="S814">
        <f t="shared" si="64"/>
        <v>67</v>
      </c>
    </row>
    <row r="815" spans="1:19">
      <c r="A815" t="s">
        <v>1712</v>
      </c>
      <c r="B815" t="s">
        <v>1713</v>
      </c>
      <c r="C815" t="s">
        <v>21</v>
      </c>
      <c r="D815" t="str" cm="1">
        <f t="array" ref="D815">_xlfn.IFS(OR(LOWER(C815)="f",LOWER(C815)="female"),"Female",TRUE,"Male")</f>
        <v>Female</v>
      </c>
      <c r="E815">
        <v>31</v>
      </c>
      <c r="F815">
        <f t="shared" si="60"/>
        <v>31</v>
      </c>
      <c r="G815" t="s">
        <v>28</v>
      </c>
      <c r="H815" t="s">
        <v>29</v>
      </c>
      <c r="I815" t="s">
        <v>30</v>
      </c>
      <c r="J815">
        <v>0</v>
      </c>
      <c r="K815">
        <f t="shared" si="61"/>
        <v>0</v>
      </c>
      <c r="L815">
        <v>30</v>
      </c>
      <c r="M815" t="str">
        <f t="shared" si="62"/>
        <v>30</v>
      </c>
      <c r="N815">
        <v>2.3</v>
      </c>
      <c r="O815" s="3">
        <f t="shared" si="63"/>
        <v>2.3</v>
      </c>
      <c r="P815" t="s">
        <v>166</v>
      </c>
      <c r="Q815" t="str" cm="1">
        <f t="array" ref="Q815">_xlfn.IFS(ISBLANK(P815),"Not Specified",OR(P815="N",P815=FALSE,P815="no",P815=0),"no",TRUE,"yes")</f>
        <v>no</v>
      </c>
      <c r="R815" s="5">
        <v>0.79</v>
      </c>
      <c r="S815">
        <f t="shared" si="64"/>
        <v>79</v>
      </c>
    </row>
    <row r="816" spans="1:19">
      <c r="A816" t="s">
        <v>1714</v>
      </c>
      <c r="B816" t="s">
        <v>1715</v>
      </c>
      <c r="C816" t="s">
        <v>55</v>
      </c>
      <c r="D816" t="str" cm="1">
        <f t="array" ref="D816">_xlfn.IFS(OR(LOWER(C816)="f",LOWER(C816)="female"),"Female",TRUE,"Male")</f>
        <v>Male</v>
      </c>
      <c r="E816">
        <v>22</v>
      </c>
      <c r="F816">
        <f t="shared" si="60"/>
        <v>22</v>
      </c>
      <c r="G816" t="s">
        <v>119</v>
      </c>
      <c r="H816" t="s">
        <v>120</v>
      </c>
      <c r="I816" t="s">
        <v>80</v>
      </c>
      <c r="J816">
        <v>4</v>
      </c>
      <c r="K816">
        <f t="shared" si="61"/>
        <v>4</v>
      </c>
      <c r="L816" t="s">
        <v>43</v>
      </c>
      <c r="M816" t="str">
        <f t="shared" si="62"/>
        <v>40</v>
      </c>
      <c r="N816">
        <v>3.8</v>
      </c>
      <c r="O816" s="3">
        <f t="shared" si="63"/>
        <v>3.8</v>
      </c>
      <c r="P816" t="b">
        <v>1</v>
      </c>
      <c r="Q816" t="str" cm="1">
        <f t="array" ref="Q816">_xlfn.IFS(ISBLANK(P816),"Not Specified",OR(P816="N",P816=FALSE,P816="no",P816=0),"no",TRUE,"yes")</f>
        <v>yes</v>
      </c>
      <c r="R816" s="5">
        <v>1</v>
      </c>
      <c r="S816">
        <f t="shared" si="64"/>
        <v>100</v>
      </c>
    </row>
    <row r="817" spans="1:19">
      <c r="A817" t="s">
        <v>1716</v>
      </c>
      <c r="B817" t="s">
        <v>1717</v>
      </c>
      <c r="C817" t="s">
        <v>21</v>
      </c>
      <c r="D817" t="str" cm="1">
        <f t="array" ref="D817">_xlfn.IFS(OR(LOWER(C817)="f",LOWER(C817)="female"),"Female",TRUE,"Male")</f>
        <v>Female</v>
      </c>
      <c r="E817">
        <v>38</v>
      </c>
      <c r="F817">
        <f t="shared" si="60"/>
        <v>38</v>
      </c>
      <c r="G817" t="s">
        <v>74</v>
      </c>
      <c r="H817" t="s">
        <v>29</v>
      </c>
      <c r="I817" t="s">
        <v>80</v>
      </c>
      <c r="J817">
        <v>10</v>
      </c>
      <c r="K817">
        <f t="shared" si="61"/>
        <v>10</v>
      </c>
      <c r="L817">
        <v>40</v>
      </c>
      <c r="M817" t="str">
        <f t="shared" si="62"/>
        <v>40</v>
      </c>
      <c r="O817" s="3" t="str">
        <f t="shared" si="63"/>
        <v>Not Specified</v>
      </c>
      <c r="P817" t="s">
        <v>38</v>
      </c>
      <c r="Q817" t="str" cm="1">
        <f t="array" ref="Q817">_xlfn.IFS(ISBLANK(P817),"Not Specified",OR(P817="N",P817=FALSE,P817="no",P817=0),"no",TRUE,"yes")</f>
        <v>no</v>
      </c>
      <c r="R817" s="5">
        <v>0.66</v>
      </c>
      <c r="S817">
        <f t="shared" si="64"/>
        <v>66</v>
      </c>
    </row>
    <row r="818" spans="1:19">
      <c r="A818" t="s">
        <v>1718</v>
      </c>
      <c r="B818" t="s">
        <v>1719</v>
      </c>
      <c r="C818" t="s">
        <v>104</v>
      </c>
      <c r="D818" t="str" cm="1">
        <f t="array" ref="D818">_xlfn.IFS(OR(LOWER(C818)="f",LOWER(C818)="female"),"Female",TRUE,"Male")</f>
        <v>Male</v>
      </c>
      <c r="E818">
        <v>44</v>
      </c>
      <c r="F818">
        <f t="shared" si="60"/>
        <v>44</v>
      </c>
      <c r="G818" t="s">
        <v>78</v>
      </c>
      <c r="H818" t="s">
        <v>79</v>
      </c>
      <c r="I818" t="s">
        <v>37</v>
      </c>
      <c r="J818">
        <v>24</v>
      </c>
      <c r="K818">
        <f t="shared" si="61"/>
        <v>24</v>
      </c>
      <c r="L818" t="s">
        <v>59</v>
      </c>
      <c r="M818" t="str">
        <f t="shared" si="62"/>
        <v> 75</v>
      </c>
      <c r="N818">
        <v>4.6</v>
      </c>
      <c r="O818" s="3">
        <f t="shared" si="63"/>
        <v>4.6</v>
      </c>
      <c r="P818" t="s">
        <v>166</v>
      </c>
      <c r="Q818" t="str" cm="1">
        <f t="array" ref="Q818">_xlfn.IFS(ISBLANK(P818),"Not Specified",OR(P818="N",P818=FALSE,P818="no",P818=0),"no",TRUE,"yes")</f>
        <v>no</v>
      </c>
      <c r="R818" s="5">
        <v>0.97</v>
      </c>
      <c r="S818">
        <f t="shared" si="64"/>
        <v>97</v>
      </c>
    </row>
    <row r="819" spans="1:19">
      <c r="A819" t="s">
        <v>1720</v>
      </c>
      <c r="B819" t="s">
        <v>1721</v>
      </c>
      <c r="C819" t="s">
        <v>99</v>
      </c>
      <c r="D819" t="str" cm="1">
        <f t="array" ref="D819">_xlfn.IFS(OR(LOWER(C819)="f",LOWER(C819)="female"),"Female",TRUE,"Male")</f>
        <v>Male</v>
      </c>
      <c r="E819">
        <v>53</v>
      </c>
      <c r="F819">
        <f t="shared" si="60"/>
        <v>53</v>
      </c>
      <c r="G819" t="s">
        <v>56</v>
      </c>
      <c r="H819" t="s">
        <v>57</v>
      </c>
      <c r="I819" t="s">
        <v>121</v>
      </c>
      <c r="J819">
        <v>21</v>
      </c>
      <c r="K819">
        <f t="shared" si="61"/>
        <v>21</v>
      </c>
      <c r="L819">
        <v>100</v>
      </c>
      <c r="M819" t="str">
        <f t="shared" si="62"/>
        <v>100</v>
      </c>
      <c r="N819">
        <v>3.4</v>
      </c>
      <c r="O819" s="3">
        <f t="shared" si="63"/>
        <v>3.4</v>
      </c>
      <c r="P819">
        <v>0</v>
      </c>
      <c r="Q819" t="str" cm="1">
        <f t="array" ref="Q819">_xlfn.IFS(ISBLANK(P819),"Not Specified",OR(P819="N",P819=FALSE,P819="no",P819=0),"no",TRUE,"yes")</f>
        <v>no</v>
      </c>
      <c r="R819" s="5">
        <v>0.62</v>
      </c>
      <c r="S819">
        <f t="shared" si="64"/>
        <v>62</v>
      </c>
    </row>
    <row r="820" spans="1:19">
      <c r="A820" t="s">
        <v>1722</v>
      </c>
      <c r="B820" t="s">
        <v>1723</v>
      </c>
      <c r="C820" t="s">
        <v>104</v>
      </c>
      <c r="D820" t="str" cm="1">
        <f t="array" ref="D820">_xlfn.IFS(OR(LOWER(C820)="f",LOWER(C820)="female"),"Female",TRUE,"Male")</f>
        <v>Male</v>
      </c>
      <c r="E820">
        <v>22</v>
      </c>
      <c r="F820">
        <f t="shared" si="60"/>
        <v>22</v>
      </c>
      <c r="G820" t="s">
        <v>182</v>
      </c>
      <c r="H820" t="s">
        <v>183</v>
      </c>
      <c r="I820" t="s">
        <v>58</v>
      </c>
      <c r="J820">
        <v>2</v>
      </c>
      <c r="K820">
        <f t="shared" si="61"/>
        <v>2</v>
      </c>
      <c r="L820" t="s">
        <v>321</v>
      </c>
      <c r="M820" t="str">
        <f t="shared" si="62"/>
        <v> 20</v>
      </c>
      <c r="O820" s="3" t="str">
        <f t="shared" si="63"/>
        <v>Not Specified</v>
      </c>
      <c r="P820" t="s">
        <v>166</v>
      </c>
      <c r="Q820" t="str" cm="1">
        <f t="array" ref="Q820">_xlfn.IFS(ISBLANK(P820),"Not Specified",OR(P820="N",P820=FALSE,P820="no",P820=0),"no",TRUE,"yes")</f>
        <v>no</v>
      </c>
      <c r="S820" t="str">
        <f t="shared" si="64"/>
        <v>Not Specified</v>
      </c>
    </row>
    <row r="821" spans="1:19">
      <c r="A821" t="s">
        <v>1724</v>
      </c>
      <c r="B821" t="s">
        <v>1725</v>
      </c>
      <c r="C821" t="s">
        <v>84</v>
      </c>
      <c r="D821" t="str" cm="1">
        <f t="array" ref="D821">_xlfn.IFS(OR(LOWER(C821)="f",LOWER(C821)="female"),"Female",TRUE,"Male")</f>
        <v>Female</v>
      </c>
      <c r="E821">
        <v>40</v>
      </c>
      <c r="F821">
        <f t="shared" si="60"/>
        <v>40</v>
      </c>
      <c r="G821" t="s">
        <v>100</v>
      </c>
      <c r="H821" t="s">
        <v>101</v>
      </c>
      <c r="I821" t="s">
        <v>24</v>
      </c>
      <c r="J821">
        <v>14</v>
      </c>
      <c r="K821">
        <f t="shared" si="61"/>
        <v>14</v>
      </c>
      <c r="L821">
        <v>75</v>
      </c>
      <c r="M821" t="str">
        <f t="shared" si="62"/>
        <v>75</v>
      </c>
      <c r="N821">
        <v>0</v>
      </c>
      <c r="O821" s="3" t="str">
        <f t="shared" si="63"/>
        <v>Not Specified</v>
      </c>
      <c r="P821">
        <v>1</v>
      </c>
      <c r="Q821" t="str" cm="1">
        <f t="array" ref="Q821">_xlfn.IFS(ISBLANK(P821),"Not Specified",OR(P821="N",P821=FALSE,P821="no",P821=0),"no",TRUE,"yes")</f>
        <v>yes</v>
      </c>
      <c r="R821" s="5">
        <v>0.79</v>
      </c>
      <c r="S821">
        <f t="shared" si="64"/>
        <v>79</v>
      </c>
    </row>
    <row r="822" spans="1:19">
      <c r="A822" t="s">
        <v>1726</v>
      </c>
      <c r="B822" t="s">
        <v>1727</v>
      </c>
      <c r="C822" t="s">
        <v>46</v>
      </c>
      <c r="D822" t="str" cm="1">
        <f t="array" ref="D822">_xlfn.IFS(OR(LOWER(C822)="f",LOWER(C822)="female"),"Female",TRUE,"Male")</f>
        <v>Female</v>
      </c>
      <c r="E822">
        <v>49</v>
      </c>
      <c r="F822">
        <f t="shared" si="60"/>
        <v>49</v>
      </c>
      <c r="G822" t="s">
        <v>182</v>
      </c>
      <c r="H822" t="s">
        <v>183</v>
      </c>
      <c r="I822" t="s">
        <v>30</v>
      </c>
      <c r="J822">
        <v>15</v>
      </c>
      <c r="K822">
        <f t="shared" si="61"/>
        <v>15</v>
      </c>
      <c r="L822">
        <v>40</v>
      </c>
      <c r="M822" t="str">
        <f t="shared" si="62"/>
        <v>40</v>
      </c>
      <c r="N822">
        <v>3.9</v>
      </c>
      <c r="O822" s="3">
        <f t="shared" si="63"/>
        <v>3.9</v>
      </c>
      <c r="P822" t="b">
        <v>0</v>
      </c>
      <c r="Q822" t="str" cm="1">
        <f t="array" ref="Q822">_xlfn.IFS(ISBLANK(P822),"Not Specified",OR(P822="N",P822=FALSE,P822="no",P822=0),"no",TRUE,"yes")</f>
        <v>no</v>
      </c>
      <c r="R822" s="5">
        <v>0.86</v>
      </c>
      <c r="S822">
        <f t="shared" si="64"/>
        <v>86</v>
      </c>
    </row>
    <row r="823" spans="1:19">
      <c r="A823" t="s">
        <v>1728</v>
      </c>
      <c r="B823" t="s">
        <v>1729</v>
      </c>
      <c r="C823" t="s">
        <v>68</v>
      </c>
      <c r="D823" t="str" cm="1">
        <f t="array" ref="D823">_xlfn.IFS(OR(LOWER(C823)="f",LOWER(C823)="female"),"Female",TRUE,"Male")</f>
        <v>Male</v>
      </c>
      <c r="E823">
        <v>30</v>
      </c>
      <c r="F823">
        <f t="shared" si="60"/>
        <v>30</v>
      </c>
      <c r="G823" t="s">
        <v>28</v>
      </c>
      <c r="H823" t="s">
        <v>29</v>
      </c>
      <c r="I823" t="s">
        <v>80</v>
      </c>
      <c r="J823">
        <v>11</v>
      </c>
      <c r="K823">
        <f t="shared" si="61"/>
        <v>11</v>
      </c>
      <c r="L823" t="s">
        <v>52</v>
      </c>
      <c r="M823" t="str">
        <f t="shared" si="62"/>
        <v>30</v>
      </c>
      <c r="N823">
        <v>4.2</v>
      </c>
      <c r="O823" s="3">
        <f t="shared" si="63"/>
        <v>4.2</v>
      </c>
      <c r="P823">
        <v>0</v>
      </c>
      <c r="Q823" t="str" cm="1">
        <f t="array" ref="Q823">_xlfn.IFS(ISBLANK(P823),"Not Specified",OR(P823="N",P823=FALSE,P823="no",P823=0),"no",TRUE,"yes")</f>
        <v>no</v>
      </c>
      <c r="R823" s="5">
        <v>0.65</v>
      </c>
      <c r="S823">
        <f t="shared" si="64"/>
        <v>65</v>
      </c>
    </row>
    <row r="824" spans="1:19">
      <c r="A824" t="s">
        <v>1730</v>
      </c>
      <c r="B824" t="s">
        <v>1731</v>
      </c>
      <c r="C824" t="s">
        <v>46</v>
      </c>
      <c r="D824" t="str" cm="1">
        <f t="array" ref="D824">_xlfn.IFS(OR(LOWER(C824)="f",LOWER(C824)="female"),"Female",TRUE,"Male")</f>
        <v>Female</v>
      </c>
      <c r="E824">
        <v>37</v>
      </c>
      <c r="F824">
        <f t="shared" si="60"/>
        <v>37</v>
      </c>
      <c r="G824" t="s">
        <v>92</v>
      </c>
      <c r="H824" t="s">
        <v>93</v>
      </c>
      <c r="I824" t="s">
        <v>51</v>
      </c>
      <c r="J824">
        <v>6</v>
      </c>
      <c r="K824">
        <f t="shared" si="61"/>
        <v>6</v>
      </c>
      <c r="L824">
        <v>20</v>
      </c>
      <c r="M824" t="str">
        <f t="shared" si="62"/>
        <v>20</v>
      </c>
      <c r="O824" s="3" t="str">
        <f t="shared" si="63"/>
        <v>Not Specified</v>
      </c>
      <c r="Q824" t="str" cm="1">
        <f t="array" ref="Q824">_xlfn.IFS(ISBLANK(P824),"Not Specified",OR(P824="N",P824=FALSE,P824="no",P824=0),"no",TRUE,"yes")</f>
        <v>Not Specified</v>
      </c>
      <c r="R824" s="5">
        <v>0.99</v>
      </c>
      <c r="S824">
        <f t="shared" si="64"/>
        <v>99</v>
      </c>
    </row>
    <row r="825" spans="1:19">
      <c r="A825" t="s">
        <v>1732</v>
      </c>
      <c r="B825" t="s">
        <v>1733</v>
      </c>
      <c r="C825" t="s">
        <v>34</v>
      </c>
      <c r="D825" t="str" cm="1">
        <f t="array" ref="D825">_xlfn.IFS(OR(LOWER(C825)="f",LOWER(C825)="female"),"Female",TRUE,"Male")</f>
        <v>Male</v>
      </c>
      <c r="E825">
        <v>21</v>
      </c>
      <c r="F825">
        <f t="shared" si="60"/>
        <v>21</v>
      </c>
      <c r="G825" t="s">
        <v>146</v>
      </c>
      <c r="H825" t="s">
        <v>147</v>
      </c>
      <c r="I825" t="s">
        <v>37</v>
      </c>
      <c r="J825">
        <v>2</v>
      </c>
      <c r="K825">
        <f t="shared" si="61"/>
        <v>2</v>
      </c>
      <c r="L825">
        <v>100</v>
      </c>
      <c r="M825" t="str">
        <f t="shared" si="62"/>
        <v>100</v>
      </c>
      <c r="N825">
        <v>3.6</v>
      </c>
      <c r="O825" s="3">
        <f t="shared" si="63"/>
        <v>3.6</v>
      </c>
      <c r="P825" t="b">
        <v>0</v>
      </c>
      <c r="Q825" t="str" cm="1">
        <f t="array" ref="Q825">_xlfn.IFS(ISBLANK(P825),"Not Specified",OR(P825="N",P825=FALSE,P825="no",P825=0),"no",TRUE,"yes")</f>
        <v>no</v>
      </c>
      <c r="R825">
        <v>85</v>
      </c>
      <c r="S825">
        <f t="shared" si="64"/>
        <v>85</v>
      </c>
    </row>
    <row r="826" spans="1:19">
      <c r="A826" t="s">
        <v>1734</v>
      </c>
      <c r="B826" t="s">
        <v>1735</v>
      </c>
      <c r="C826" t="s">
        <v>104</v>
      </c>
      <c r="D826" t="str" cm="1">
        <f t="array" ref="D826">_xlfn.IFS(OR(LOWER(C826)="f",LOWER(C826)="female"),"Female",TRUE,"Male")</f>
        <v>Male</v>
      </c>
      <c r="E826">
        <v>20</v>
      </c>
      <c r="F826">
        <f t="shared" si="60"/>
        <v>20</v>
      </c>
      <c r="G826" t="s">
        <v>119</v>
      </c>
      <c r="H826" t="s">
        <v>120</v>
      </c>
      <c r="I826" t="s">
        <v>51</v>
      </c>
      <c r="J826">
        <v>1</v>
      </c>
      <c r="K826">
        <f t="shared" si="61"/>
        <v>1</v>
      </c>
      <c r="L826" t="s">
        <v>105</v>
      </c>
      <c r="M826" t="str">
        <f t="shared" si="62"/>
        <v> 50</v>
      </c>
      <c r="O826" s="3" t="str">
        <f t="shared" si="63"/>
        <v>Not Specified</v>
      </c>
      <c r="P826" t="s">
        <v>75</v>
      </c>
      <c r="Q826" t="str" cm="1">
        <f t="array" ref="Q826">_xlfn.IFS(ISBLANK(P826),"Not Specified",OR(P826="N",P826=FALSE,P826="no",P826=0),"no",TRUE,"yes")</f>
        <v>yes</v>
      </c>
      <c r="R826" s="5">
        <v>0.81</v>
      </c>
      <c r="S826">
        <f t="shared" si="64"/>
        <v>81</v>
      </c>
    </row>
    <row r="827" spans="1:19">
      <c r="A827" t="s">
        <v>1736</v>
      </c>
      <c r="B827" t="s">
        <v>1737</v>
      </c>
      <c r="C827" t="s">
        <v>34</v>
      </c>
      <c r="D827" t="str" cm="1">
        <f t="array" ref="D827">_xlfn.IFS(OR(LOWER(C827)="f",LOWER(C827)="female"),"Female",TRUE,"Male")</f>
        <v>Male</v>
      </c>
      <c r="E827">
        <v>20</v>
      </c>
      <c r="F827">
        <f t="shared" si="60"/>
        <v>20</v>
      </c>
      <c r="G827" t="s">
        <v>182</v>
      </c>
      <c r="H827" t="s">
        <v>183</v>
      </c>
      <c r="I827" t="s">
        <v>58</v>
      </c>
      <c r="J827">
        <v>2</v>
      </c>
      <c r="K827">
        <f t="shared" si="61"/>
        <v>2</v>
      </c>
      <c r="L827" t="s">
        <v>43</v>
      </c>
      <c r="M827" t="str">
        <f t="shared" si="62"/>
        <v>40</v>
      </c>
      <c r="N827">
        <v>2.1</v>
      </c>
      <c r="O827" s="3">
        <f t="shared" si="63"/>
        <v>2.1</v>
      </c>
      <c r="P827" t="s">
        <v>38</v>
      </c>
      <c r="Q827" t="str" cm="1">
        <f t="array" ref="Q827">_xlfn.IFS(ISBLANK(P827),"Not Specified",OR(P827="N",P827=FALSE,P827="no",P827=0),"no",TRUE,"yes")</f>
        <v>no</v>
      </c>
      <c r="R827" s="5">
        <v>0.64</v>
      </c>
      <c r="S827">
        <f t="shared" si="64"/>
        <v>64</v>
      </c>
    </row>
    <row r="828" spans="1:19">
      <c r="A828" t="s">
        <v>1738</v>
      </c>
      <c r="B828" t="s">
        <v>1739</v>
      </c>
      <c r="C828" t="s">
        <v>68</v>
      </c>
      <c r="D828" t="str" cm="1">
        <f t="array" ref="D828">_xlfn.IFS(OR(LOWER(C828)="f",LOWER(C828)="female"),"Female",TRUE,"Male")</f>
        <v>Male</v>
      </c>
      <c r="E828">
        <v>20</v>
      </c>
      <c r="F828">
        <f t="shared" si="60"/>
        <v>20</v>
      </c>
      <c r="G828" t="s">
        <v>78</v>
      </c>
      <c r="H828" t="s">
        <v>79</v>
      </c>
      <c r="I828" t="s">
        <v>121</v>
      </c>
      <c r="J828">
        <v>2</v>
      </c>
      <c r="K828">
        <f t="shared" si="61"/>
        <v>2</v>
      </c>
      <c r="L828">
        <v>20</v>
      </c>
      <c r="M828" t="str">
        <f t="shared" si="62"/>
        <v>20</v>
      </c>
      <c r="N828">
        <v>3.9</v>
      </c>
      <c r="O828" s="3">
        <f t="shared" si="63"/>
        <v>3.9</v>
      </c>
      <c r="P828" t="b">
        <v>0</v>
      </c>
      <c r="Q828" t="str" cm="1">
        <f t="array" ref="Q828">_xlfn.IFS(ISBLANK(P828),"Not Specified",OR(P828="N",P828=FALSE,P828="no",P828=0),"no",TRUE,"yes")</f>
        <v>no</v>
      </c>
      <c r="R828" s="5">
        <v>0.84</v>
      </c>
      <c r="S828">
        <f t="shared" si="64"/>
        <v>84</v>
      </c>
    </row>
    <row r="829" spans="1:19">
      <c r="A829" t="s">
        <v>1740</v>
      </c>
      <c r="B829" t="s">
        <v>1741</v>
      </c>
      <c r="C829" t="s">
        <v>21</v>
      </c>
      <c r="D829" t="str" cm="1">
        <f t="array" ref="D829">_xlfn.IFS(OR(LOWER(C829)="f",LOWER(C829)="female"),"Female",TRUE,"Male")</f>
        <v>Female</v>
      </c>
      <c r="E829">
        <v>26</v>
      </c>
      <c r="F829">
        <f t="shared" si="60"/>
        <v>26</v>
      </c>
      <c r="G829" t="s">
        <v>131</v>
      </c>
      <c r="H829" t="s">
        <v>132</v>
      </c>
      <c r="I829" t="s">
        <v>121</v>
      </c>
      <c r="J829">
        <v>2</v>
      </c>
      <c r="K829">
        <f t="shared" si="61"/>
        <v>2</v>
      </c>
      <c r="L829">
        <v>40</v>
      </c>
      <c r="M829" t="str">
        <f t="shared" si="62"/>
        <v>40</v>
      </c>
      <c r="N829">
        <v>0</v>
      </c>
      <c r="O829" s="3" t="str">
        <f t="shared" si="63"/>
        <v>Not Specified</v>
      </c>
      <c r="Q829" t="str" cm="1">
        <f t="array" ref="Q829">_xlfn.IFS(ISBLANK(P829),"Not Specified",OR(P829="N",P829=FALSE,P829="no",P829=0),"no",TRUE,"yes")</f>
        <v>Not Specified</v>
      </c>
      <c r="R829" s="5">
        <v>0.66</v>
      </c>
      <c r="S829">
        <f t="shared" si="64"/>
        <v>66</v>
      </c>
    </row>
    <row r="830" spans="1:19">
      <c r="A830" t="s">
        <v>1742</v>
      </c>
      <c r="B830" t="s">
        <v>1743</v>
      </c>
      <c r="C830" t="s">
        <v>46</v>
      </c>
      <c r="D830" t="str" cm="1">
        <f t="array" ref="D830">_xlfn.IFS(OR(LOWER(C830)="f",LOWER(C830)="female"),"Female",TRUE,"Male")</f>
        <v>Female</v>
      </c>
      <c r="E830">
        <v>50</v>
      </c>
      <c r="F830">
        <f t="shared" si="60"/>
        <v>50</v>
      </c>
      <c r="G830" t="s">
        <v>119</v>
      </c>
      <c r="H830" t="s">
        <v>120</v>
      </c>
      <c r="I830" t="s">
        <v>42</v>
      </c>
      <c r="J830">
        <v>12</v>
      </c>
      <c r="K830">
        <f t="shared" si="61"/>
        <v>12</v>
      </c>
      <c r="L830" t="s">
        <v>177</v>
      </c>
      <c r="M830" t="str">
        <f t="shared" si="62"/>
        <v>75</v>
      </c>
      <c r="N830">
        <v>0</v>
      </c>
      <c r="O830" s="3" t="str">
        <f t="shared" si="63"/>
        <v>Not Specified</v>
      </c>
      <c r="P830" t="b">
        <v>0</v>
      </c>
      <c r="Q830" t="str" cm="1">
        <f t="array" ref="Q830">_xlfn.IFS(ISBLANK(P830),"Not Specified",OR(P830="N",P830=FALSE,P830="no",P830=0),"no",TRUE,"yes")</f>
        <v>no</v>
      </c>
      <c r="R830">
        <v>75</v>
      </c>
      <c r="S830">
        <f t="shared" si="64"/>
        <v>75</v>
      </c>
    </row>
    <row r="831" spans="1:19">
      <c r="A831" t="s">
        <v>1744</v>
      </c>
      <c r="B831" t="s">
        <v>1745</v>
      </c>
      <c r="C831" t="s">
        <v>104</v>
      </c>
      <c r="D831" t="str" cm="1">
        <f t="array" ref="D831">_xlfn.IFS(OR(LOWER(C831)="f",LOWER(C831)="female"),"Female",TRUE,"Male")</f>
        <v>Male</v>
      </c>
      <c r="E831">
        <v>50</v>
      </c>
      <c r="F831">
        <f t="shared" si="60"/>
        <v>50</v>
      </c>
      <c r="G831" t="s">
        <v>197</v>
      </c>
      <c r="H831" t="s">
        <v>79</v>
      </c>
      <c r="I831" t="s">
        <v>51</v>
      </c>
      <c r="J831">
        <v>28</v>
      </c>
      <c r="K831">
        <f t="shared" si="61"/>
        <v>28</v>
      </c>
      <c r="L831">
        <v>30</v>
      </c>
      <c r="M831" t="str">
        <f t="shared" si="62"/>
        <v>30</v>
      </c>
      <c r="N831">
        <v>1.8</v>
      </c>
      <c r="O831" s="3">
        <f t="shared" si="63"/>
        <v>1.8</v>
      </c>
      <c r="Q831" t="str" cm="1">
        <f t="array" ref="Q831">_xlfn.IFS(ISBLANK(P831),"Not Specified",OR(P831="N",P831=FALSE,P831="no",P831=0),"no",TRUE,"yes")</f>
        <v>Not Specified</v>
      </c>
      <c r="S831" t="str">
        <f t="shared" si="64"/>
        <v>Not Specified</v>
      </c>
    </row>
    <row r="832" spans="1:19">
      <c r="A832" t="s">
        <v>1746</v>
      </c>
      <c r="B832" t="s">
        <v>1747</v>
      </c>
      <c r="C832" t="s">
        <v>84</v>
      </c>
      <c r="D832" t="str" cm="1">
        <f t="array" ref="D832">_xlfn.IFS(OR(LOWER(C832)="f",LOWER(C832)="female"),"Female",TRUE,"Male")</f>
        <v>Female</v>
      </c>
      <c r="E832">
        <v>54</v>
      </c>
      <c r="F832">
        <f t="shared" si="60"/>
        <v>54</v>
      </c>
      <c r="G832" t="s">
        <v>56</v>
      </c>
      <c r="H832" t="s">
        <v>57</v>
      </c>
      <c r="I832" t="s">
        <v>51</v>
      </c>
      <c r="J832">
        <v>4</v>
      </c>
      <c r="K832">
        <f t="shared" si="61"/>
        <v>4</v>
      </c>
      <c r="L832">
        <v>20</v>
      </c>
      <c r="M832" t="str">
        <f t="shared" si="62"/>
        <v>20</v>
      </c>
      <c r="N832">
        <v>1.1</v>
      </c>
      <c r="O832" s="3">
        <f t="shared" si="63"/>
        <v>1.1</v>
      </c>
      <c r="P832">
        <v>1</v>
      </c>
      <c r="Q832" t="str" cm="1">
        <f t="array" ref="Q832">_xlfn.IFS(ISBLANK(P832),"Not Specified",OR(P832="N",P832=FALSE,P832="no",P832=0),"no",TRUE,"yes")</f>
        <v>yes</v>
      </c>
      <c r="R832" s="5">
        <v>0.63</v>
      </c>
      <c r="S832">
        <f t="shared" si="64"/>
        <v>63</v>
      </c>
    </row>
    <row r="833" spans="1:19">
      <c r="A833" t="s">
        <v>1748</v>
      </c>
      <c r="B833" t="s">
        <v>1749</v>
      </c>
      <c r="C833" t="s">
        <v>34</v>
      </c>
      <c r="D833" t="str" cm="1">
        <f t="array" ref="D833">_xlfn.IFS(OR(LOWER(C833)="f",LOWER(C833)="female"),"Female",TRUE,"Male")</f>
        <v>Male</v>
      </c>
      <c r="E833">
        <v>54</v>
      </c>
      <c r="F833">
        <f t="shared" si="60"/>
        <v>54</v>
      </c>
      <c r="G833" t="s">
        <v>197</v>
      </c>
      <c r="H833" t="s">
        <v>79</v>
      </c>
      <c r="I833" t="s">
        <v>24</v>
      </c>
      <c r="J833">
        <v>3</v>
      </c>
      <c r="K833">
        <f t="shared" si="61"/>
        <v>3</v>
      </c>
      <c r="L833">
        <v>20</v>
      </c>
      <c r="M833" t="str">
        <f t="shared" si="62"/>
        <v>20</v>
      </c>
      <c r="N833">
        <v>1.6</v>
      </c>
      <c r="O833" s="3">
        <f t="shared" si="63"/>
        <v>1.6</v>
      </c>
      <c r="P833" t="s">
        <v>81</v>
      </c>
      <c r="Q833" t="str" cm="1">
        <f t="array" ref="Q833">_xlfn.IFS(ISBLANK(P833),"Not Specified",OR(P833="N",P833=FALSE,P833="no",P833=0),"no",TRUE,"yes")</f>
        <v>yes</v>
      </c>
      <c r="R833" s="5">
        <v>0.7</v>
      </c>
      <c r="S833">
        <f t="shared" si="64"/>
        <v>70</v>
      </c>
    </row>
    <row r="834" spans="1:19">
      <c r="A834" t="s">
        <v>1750</v>
      </c>
      <c r="B834" t="s">
        <v>1751</v>
      </c>
      <c r="C834" t="s">
        <v>84</v>
      </c>
      <c r="D834" t="str" cm="1">
        <f t="array" ref="D834">_xlfn.IFS(OR(LOWER(C834)="f",LOWER(C834)="female"),"Female",TRUE,"Male")</f>
        <v>Female</v>
      </c>
      <c r="E834">
        <v>34</v>
      </c>
      <c r="F834">
        <f t="shared" si="60"/>
        <v>34</v>
      </c>
      <c r="G834" t="s">
        <v>146</v>
      </c>
      <c r="H834" t="s">
        <v>147</v>
      </c>
      <c r="I834" t="s">
        <v>121</v>
      </c>
      <c r="J834">
        <v>4</v>
      </c>
      <c r="K834">
        <f t="shared" si="61"/>
        <v>4</v>
      </c>
      <c r="L834" t="s">
        <v>52</v>
      </c>
      <c r="M834" t="str">
        <f t="shared" si="62"/>
        <v>30</v>
      </c>
      <c r="N834">
        <v>3.1</v>
      </c>
      <c r="O834" s="3">
        <f t="shared" si="63"/>
        <v>3.1</v>
      </c>
      <c r="Q834" t="str" cm="1">
        <f t="array" ref="Q834">_xlfn.IFS(ISBLANK(P834),"Not Specified",OR(P834="N",P834=FALSE,P834="no",P834=0),"no",TRUE,"yes")</f>
        <v>Not Specified</v>
      </c>
      <c r="R834" s="5">
        <v>0.9</v>
      </c>
      <c r="S834">
        <f t="shared" si="64"/>
        <v>90</v>
      </c>
    </row>
    <row r="835" spans="1:19">
      <c r="A835" t="s">
        <v>1752</v>
      </c>
      <c r="B835" t="s">
        <v>1753</v>
      </c>
      <c r="C835" t="s">
        <v>84</v>
      </c>
      <c r="D835" t="str" cm="1">
        <f t="array" ref="D835">_xlfn.IFS(OR(LOWER(C835)="f",LOWER(C835)="female"),"Female",TRUE,"Male")</f>
        <v>Female</v>
      </c>
      <c r="E835">
        <v>20</v>
      </c>
      <c r="F835">
        <f t="shared" ref="F835:F898" si="65">IF(ISNUMBER(E835),E835,"Not Specified")</f>
        <v>20</v>
      </c>
      <c r="G835" t="s">
        <v>22</v>
      </c>
      <c r="H835" t="s">
        <v>23</v>
      </c>
      <c r="I835" t="s">
        <v>96</v>
      </c>
      <c r="J835">
        <v>1</v>
      </c>
      <c r="K835">
        <f t="shared" ref="K835:K898" si="66">IF(ISNUMBER(J835),J835,"Not Specified")</f>
        <v>1</v>
      </c>
      <c r="L835">
        <v>50</v>
      </c>
      <c r="M835" t="str">
        <f t="shared" ref="M835:M898" si="67">IF(SUBSTITUTE(SUBSTITUTE(L835,"USD",""),"$","")="","Not Specified",SUBSTITUTE(SUBSTITUTE(L835,"USD",""),"$",""))</f>
        <v>50</v>
      </c>
      <c r="N835">
        <v>3.4</v>
      </c>
      <c r="O835" s="3">
        <f t="shared" ref="O835:O898" si="68">IF(OR(N835="",N835=0),"Not Specified",N835)</f>
        <v>3.4</v>
      </c>
      <c r="P835">
        <v>1</v>
      </c>
      <c r="Q835" t="str" cm="1">
        <f t="array" ref="Q835">_xlfn.IFS(ISBLANK(P835),"Not Specified",OR(P835="N",P835=FALSE,P835="no",P835=0),"no",TRUE,"yes")</f>
        <v>yes</v>
      </c>
      <c r="R835">
        <v>79</v>
      </c>
      <c r="S835">
        <f t="shared" ref="S835:S898" si="69">IF(ISBLANK(R835),"Not Specified",IF(R835&lt;=1,R835*100,R835))</f>
        <v>79</v>
      </c>
    </row>
    <row r="836" spans="1:19">
      <c r="A836" t="s">
        <v>1754</v>
      </c>
      <c r="B836" t="s">
        <v>1755</v>
      </c>
      <c r="C836" t="s">
        <v>34</v>
      </c>
      <c r="D836" t="str" cm="1">
        <f t="array" ref="D836">_xlfn.IFS(OR(LOWER(C836)="f",LOWER(C836)="female"),"Female",TRUE,"Male")</f>
        <v>Male</v>
      </c>
      <c r="E836">
        <v>29</v>
      </c>
      <c r="F836">
        <f t="shared" si="65"/>
        <v>29</v>
      </c>
      <c r="G836" t="s">
        <v>35</v>
      </c>
      <c r="H836" t="s">
        <v>36</v>
      </c>
      <c r="I836" t="s">
        <v>51</v>
      </c>
      <c r="J836">
        <v>8</v>
      </c>
      <c r="K836">
        <f t="shared" si="66"/>
        <v>8</v>
      </c>
      <c r="L836">
        <v>40</v>
      </c>
      <c r="M836" t="str">
        <f t="shared" si="67"/>
        <v>40</v>
      </c>
      <c r="N836">
        <v>3.1</v>
      </c>
      <c r="O836" s="3">
        <f t="shared" si="68"/>
        <v>3.1</v>
      </c>
      <c r="P836" t="s">
        <v>38</v>
      </c>
      <c r="Q836" t="str" cm="1">
        <f t="array" ref="Q836">_xlfn.IFS(ISBLANK(P836),"Not Specified",OR(P836="N",P836=FALSE,P836="no",P836=0),"no",TRUE,"yes")</f>
        <v>no</v>
      </c>
      <c r="R836" s="5">
        <v>0.6</v>
      </c>
      <c r="S836">
        <f t="shared" si="69"/>
        <v>60</v>
      </c>
    </row>
    <row r="837" spans="1:19">
      <c r="A837" t="s">
        <v>1756</v>
      </c>
      <c r="B837" t="s">
        <v>1757</v>
      </c>
      <c r="C837" t="s">
        <v>46</v>
      </c>
      <c r="D837" t="str" cm="1">
        <f t="array" ref="D837">_xlfn.IFS(OR(LOWER(C837)="f",LOWER(C837)="female"),"Female",TRUE,"Male")</f>
        <v>Female</v>
      </c>
      <c r="E837">
        <v>57</v>
      </c>
      <c r="F837">
        <f t="shared" si="65"/>
        <v>57</v>
      </c>
      <c r="G837" t="s">
        <v>74</v>
      </c>
      <c r="H837" t="s">
        <v>29</v>
      </c>
      <c r="I837" t="s">
        <v>96</v>
      </c>
      <c r="J837">
        <v>11</v>
      </c>
      <c r="K837">
        <f t="shared" si="66"/>
        <v>11</v>
      </c>
      <c r="L837" t="s">
        <v>59</v>
      </c>
      <c r="M837" t="str">
        <f t="shared" si="67"/>
        <v> 75</v>
      </c>
      <c r="N837">
        <v>2.3</v>
      </c>
      <c r="O837" s="3">
        <f t="shared" si="68"/>
        <v>2.3</v>
      </c>
      <c r="P837">
        <v>0</v>
      </c>
      <c r="Q837" t="str" cm="1">
        <f t="array" ref="Q837">_xlfn.IFS(ISBLANK(P837),"Not Specified",OR(P837="N",P837=FALSE,P837="no",P837=0),"no",TRUE,"yes")</f>
        <v>no</v>
      </c>
      <c r="S837" t="str">
        <f t="shared" si="69"/>
        <v>Not Specified</v>
      </c>
    </row>
    <row r="838" spans="1:19">
      <c r="A838" t="s">
        <v>1758</v>
      </c>
      <c r="B838" t="s">
        <v>1759</v>
      </c>
      <c r="C838" t="s">
        <v>41</v>
      </c>
      <c r="D838" t="str" cm="1">
        <f t="array" ref="D838">_xlfn.IFS(OR(LOWER(C838)="f",LOWER(C838)="female"),"Female",TRUE,"Male")</f>
        <v>Female</v>
      </c>
      <c r="E838">
        <v>36</v>
      </c>
      <c r="F838">
        <f t="shared" si="65"/>
        <v>36</v>
      </c>
      <c r="G838" t="s">
        <v>49</v>
      </c>
      <c r="H838" t="s">
        <v>50</v>
      </c>
      <c r="I838" t="s">
        <v>51</v>
      </c>
      <c r="J838">
        <v>8</v>
      </c>
      <c r="K838">
        <f t="shared" si="66"/>
        <v>8</v>
      </c>
      <c r="L838" t="s">
        <v>62</v>
      </c>
      <c r="M838" t="str">
        <f t="shared" si="67"/>
        <v> 40</v>
      </c>
      <c r="O838" s="3" t="str">
        <f t="shared" si="68"/>
        <v>Not Specified</v>
      </c>
      <c r="P838" t="s">
        <v>38</v>
      </c>
      <c r="Q838" t="str" cm="1">
        <f t="array" ref="Q838">_xlfn.IFS(ISBLANK(P838),"Not Specified",OR(P838="N",P838=FALSE,P838="no",P838=0),"no",TRUE,"yes")</f>
        <v>no</v>
      </c>
      <c r="R838" s="5">
        <v>0.8</v>
      </c>
      <c r="S838">
        <f t="shared" si="69"/>
        <v>80</v>
      </c>
    </row>
    <row r="839" spans="1:19">
      <c r="A839" t="s">
        <v>1760</v>
      </c>
      <c r="B839" t="s">
        <v>1761</v>
      </c>
      <c r="C839" t="s">
        <v>104</v>
      </c>
      <c r="D839" t="str" cm="1">
        <f t="array" ref="D839">_xlfn.IFS(OR(LOWER(C839)="f",LOWER(C839)="female"),"Female",TRUE,"Male")</f>
        <v>Male</v>
      </c>
      <c r="E839">
        <v>51</v>
      </c>
      <c r="F839">
        <f t="shared" si="65"/>
        <v>51</v>
      </c>
      <c r="G839" t="s">
        <v>119</v>
      </c>
      <c r="H839" t="s">
        <v>120</v>
      </c>
      <c r="I839" t="s">
        <v>42</v>
      </c>
      <c r="J839">
        <v>32</v>
      </c>
      <c r="K839">
        <f t="shared" si="66"/>
        <v>32</v>
      </c>
      <c r="L839" t="s">
        <v>71</v>
      </c>
      <c r="M839" t="str">
        <f t="shared" si="67"/>
        <v>50</v>
      </c>
      <c r="N839">
        <v>3.2</v>
      </c>
      <c r="O839" s="3">
        <f t="shared" si="68"/>
        <v>3.2</v>
      </c>
      <c r="P839">
        <v>0</v>
      </c>
      <c r="Q839" t="str" cm="1">
        <f t="array" ref="Q839">_xlfn.IFS(ISBLANK(P839),"Not Specified",OR(P839="N",P839=FALSE,P839="no",P839=0),"no",TRUE,"yes")</f>
        <v>no</v>
      </c>
      <c r="R839">
        <v>88</v>
      </c>
      <c r="S839">
        <f t="shared" si="69"/>
        <v>88</v>
      </c>
    </row>
    <row r="840" spans="1:19">
      <c r="A840" t="s">
        <v>1762</v>
      </c>
      <c r="B840" t="s">
        <v>1763</v>
      </c>
      <c r="C840" t="s">
        <v>55</v>
      </c>
      <c r="D840" t="str" cm="1">
        <f t="array" ref="D840">_xlfn.IFS(OR(LOWER(C840)="f",LOWER(C840)="female"),"Female",TRUE,"Male")</f>
        <v>Male</v>
      </c>
      <c r="E840">
        <v>44</v>
      </c>
      <c r="F840">
        <f t="shared" si="65"/>
        <v>44</v>
      </c>
      <c r="G840" t="s">
        <v>100</v>
      </c>
      <c r="H840" t="s">
        <v>101</v>
      </c>
      <c r="I840" t="s">
        <v>80</v>
      </c>
      <c r="J840">
        <v>4</v>
      </c>
      <c r="K840">
        <f t="shared" si="66"/>
        <v>4</v>
      </c>
      <c r="L840" t="s">
        <v>116</v>
      </c>
      <c r="M840" t="str">
        <f t="shared" si="67"/>
        <v> 30</v>
      </c>
      <c r="N840">
        <v>0</v>
      </c>
      <c r="O840" s="3" t="str">
        <f t="shared" si="68"/>
        <v>Not Specified</v>
      </c>
      <c r="P840" t="s">
        <v>38</v>
      </c>
      <c r="Q840" t="str" cm="1">
        <f t="array" ref="Q840">_xlfn.IFS(ISBLANK(P840),"Not Specified",OR(P840="N",P840=FALSE,P840="no",P840=0),"no",TRUE,"yes")</f>
        <v>no</v>
      </c>
      <c r="R840" s="5">
        <v>0.8</v>
      </c>
      <c r="S840">
        <f t="shared" si="69"/>
        <v>80</v>
      </c>
    </row>
    <row r="841" spans="1:19">
      <c r="A841" t="s">
        <v>1764</v>
      </c>
      <c r="B841" t="s">
        <v>1765</v>
      </c>
      <c r="C841" t="s">
        <v>104</v>
      </c>
      <c r="D841" t="str" cm="1">
        <f t="array" ref="D841">_xlfn.IFS(OR(LOWER(C841)="f",LOWER(C841)="female"),"Female",TRUE,"Male")</f>
        <v>Male</v>
      </c>
      <c r="E841">
        <v>58</v>
      </c>
      <c r="F841">
        <f t="shared" si="65"/>
        <v>58</v>
      </c>
      <c r="G841" t="s">
        <v>197</v>
      </c>
      <c r="H841" t="s">
        <v>79</v>
      </c>
      <c r="I841" t="s">
        <v>85</v>
      </c>
      <c r="J841">
        <v>33</v>
      </c>
      <c r="K841">
        <f t="shared" si="66"/>
        <v>33</v>
      </c>
      <c r="L841">
        <v>30</v>
      </c>
      <c r="M841" t="str">
        <f t="shared" si="67"/>
        <v>30</v>
      </c>
      <c r="N841">
        <v>3.3</v>
      </c>
      <c r="O841" s="3">
        <f t="shared" si="68"/>
        <v>3.3</v>
      </c>
      <c r="P841" t="s">
        <v>81</v>
      </c>
      <c r="Q841" t="str" cm="1">
        <f t="array" ref="Q841">_xlfn.IFS(ISBLANK(P841),"Not Specified",OR(P841="N",P841=FALSE,P841="no",P841=0),"no",TRUE,"yes")</f>
        <v>yes</v>
      </c>
      <c r="R841" s="5">
        <v>0.71</v>
      </c>
      <c r="S841">
        <f t="shared" si="69"/>
        <v>71</v>
      </c>
    </row>
    <row r="842" spans="1:19">
      <c r="A842" t="s">
        <v>1766</v>
      </c>
      <c r="B842" t="s">
        <v>1767</v>
      </c>
      <c r="C842" t="s">
        <v>21</v>
      </c>
      <c r="D842" t="str" cm="1">
        <f t="array" ref="D842">_xlfn.IFS(OR(LOWER(C842)="f",LOWER(C842)="female"),"Female",TRUE,"Male")</f>
        <v>Female</v>
      </c>
      <c r="E842">
        <v>38</v>
      </c>
      <c r="F842">
        <f t="shared" si="65"/>
        <v>38</v>
      </c>
      <c r="G842" t="s">
        <v>160</v>
      </c>
      <c r="H842" t="s">
        <v>161</v>
      </c>
      <c r="I842" t="s">
        <v>30</v>
      </c>
      <c r="J842">
        <v>14</v>
      </c>
      <c r="K842">
        <f t="shared" si="66"/>
        <v>14</v>
      </c>
      <c r="M842" t="str">
        <f t="shared" si="67"/>
        <v>Not Specified</v>
      </c>
      <c r="N842">
        <v>1.1</v>
      </c>
      <c r="O842" s="3">
        <f t="shared" si="68"/>
        <v>1.1</v>
      </c>
      <c r="P842">
        <v>1</v>
      </c>
      <c r="Q842" t="str" cm="1">
        <f t="array" ref="Q842">_xlfn.IFS(ISBLANK(P842),"Not Specified",OR(P842="N",P842=FALSE,P842="no",P842=0),"no",TRUE,"yes")</f>
        <v>yes</v>
      </c>
      <c r="R842" s="5">
        <v>0.76</v>
      </c>
      <c r="S842">
        <f t="shared" si="69"/>
        <v>76</v>
      </c>
    </row>
    <row r="843" spans="1:19">
      <c r="A843" t="s">
        <v>1768</v>
      </c>
      <c r="B843" t="s">
        <v>1769</v>
      </c>
      <c r="C843" t="s">
        <v>99</v>
      </c>
      <c r="D843" t="str" cm="1">
        <f t="array" ref="D843">_xlfn.IFS(OR(LOWER(C843)="f",LOWER(C843)="female"),"Female",TRUE,"Male")</f>
        <v>Male</v>
      </c>
      <c r="E843">
        <v>24</v>
      </c>
      <c r="F843">
        <f t="shared" si="65"/>
        <v>24</v>
      </c>
      <c r="G843" t="s">
        <v>65</v>
      </c>
      <c r="H843" t="s">
        <v>29</v>
      </c>
      <c r="I843" t="s">
        <v>80</v>
      </c>
      <c r="J843">
        <v>6</v>
      </c>
      <c r="K843">
        <f t="shared" si="66"/>
        <v>6</v>
      </c>
      <c r="L843" t="s">
        <v>116</v>
      </c>
      <c r="M843" t="str">
        <f t="shared" si="67"/>
        <v> 30</v>
      </c>
      <c r="N843">
        <v>4.6</v>
      </c>
      <c r="O843" s="3">
        <f t="shared" si="68"/>
        <v>4.6</v>
      </c>
      <c r="P843">
        <v>1</v>
      </c>
      <c r="Q843" t="str" cm="1">
        <f t="array" ref="Q843">_xlfn.IFS(ISBLANK(P843),"Not Specified",OR(P843="N",P843=FALSE,P843="no",P843=0),"no",TRUE,"yes")</f>
        <v>yes</v>
      </c>
      <c r="R843" s="5">
        <v>0.93</v>
      </c>
      <c r="S843">
        <f t="shared" si="69"/>
        <v>93</v>
      </c>
    </row>
    <row r="844" spans="1:19">
      <c r="A844" t="s">
        <v>1770</v>
      </c>
      <c r="B844" t="s">
        <v>1771</v>
      </c>
      <c r="C844" t="s">
        <v>41</v>
      </c>
      <c r="D844" t="str" cm="1">
        <f t="array" ref="D844">_xlfn.IFS(OR(LOWER(C844)="f",LOWER(C844)="female"),"Female",TRUE,"Male")</f>
        <v>Female</v>
      </c>
      <c r="E844">
        <v>30</v>
      </c>
      <c r="F844">
        <f t="shared" si="65"/>
        <v>30</v>
      </c>
      <c r="G844" t="s">
        <v>69</v>
      </c>
      <c r="H844" t="s">
        <v>70</v>
      </c>
      <c r="I844" t="s">
        <v>24</v>
      </c>
      <c r="J844">
        <v>5</v>
      </c>
      <c r="K844">
        <f t="shared" si="66"/>
        <v>5</v>
      </c>
      <c r="L844" t="s">
        <v>116</v>
      </c>
      <c r="M844" t="str">
        <f t="shared" si="67"/>
        <v> 30</v>
      </c>
      <c r="O844" s="3" t="str">
        <f t="shared" si="68"/>
        <v>Not Specified</v>
      </c>
      <c r="P844">
        <v>0</v>
      </c>
      <c r="Q844" t="str" cm="1">
        <f t="array" ref="Q844">_xlfn.IFS(ISBLANK(P844),"Not Specified",OR(P844="N",P844=FALSE,P844="no",P844=0),"no",TRUE,"yes")</f>
        <v>no</v>
      </c>
      <c r="S844" t="str">
        <f t="shared" si="69"/>
        <v>Not Specified</v>
      </c>
    </row>
    <row r="845" spans="1:19">
      <c r="A845" t="s">
        <v>1772</v>
      </c>
      <c r="B845" t="s">
        <v>1773</v>
      </c>
      <c r="C845" t="s">
        <v>68</v>
      </c>
      <c r="D845" t="str" cm="1">
        <f t="array" ref="D845">_xlfn.IFS(OR(LOWER(C845)="f",LOWER(C845)="female"),"Female",TRUE,"Male")</f>
        <v>Male</v>
      </c>
      <c r="E845">
        <v>25</v>
      </c>
      <c r="F845">
        <f t="shared" si="65"/>
        <v>25</v>
      </c>
      <c r="G845" t="s">
        <v>56</v>
      </c>
      <c r="H845" t="s">
        <v>57</v>
      </c>
      <c r="I845" t="s">
        <v>85</v>
      </c>
      <c r="J845">
        <v>3</v>
      </c>
      <c r="K845">
        <f t="shared" si="66"/>
        <v>3</v>
      </c>
      <c r="L845">
        <v>75</v>
      </c>
      <c r="M845" t="str">
        <f t="shared" si="67"/>
        <v>75</v>
      </c>
      <c r="O845" s="3" t="str">
        <f t="shared" si="68"/>
        <v>Not Specified</v>
      </c>
      <c r="P845">
        <v>0</v>
      </c>
      <c r="Q845" t="str" cm="1">
        <f t="array" ref="Q845">_xlfn.IFS(ISBLANK(P845),"Not Specified",OR(P845="N",P845=FALSE,P845="no",P845=0),"no",TRUE,"yes")</f>
        <v>no</v>
      </c>
      <c r="R845" s="5">
        <v>0.83</v>
      </c>
      <c r="S845">
        <f t="shared" si="69"/>
        <v>83</v>
      </c>
    </row>
    <row r="846" spans="1:19">
      <c r="A846" t="s">
        <v>1774</v>
      </c>
      <c r="B846" t="s">
        <v>1775</v>
      </c>
      <c r="C846" t="s">
        <v>99</v>
      </c>
      <c r="D846" t="str" cm="1">
        <f t="array" ref="D846">_xlfn.IFS(OR(LOWER(C846)="f",LOWER(C846)="female"),"Female",TRUE,"Male")</f>
        <v>Male</v>
      </c>
      <c r="E846">
        <v>54</v>
      </c>
      <c r="F846">
        <f t="shared" si="65"/>
        <v>54</v>
      </c>
      <c r="G846" t="s">
        <v>56</v>
      </c>
      <c r="H846" t="s">
        <v>57</v>
      </c>
      <c r="I846" t="s">
        <v>30</v>
      </c>
      <c r="J846">
        <v>17</v>
      </c>
      <c r="K846">
        <f t="shared" si="66"/>
        <v>17</v>
      </c>
      <c r="L846" t="s">
        <v>236</v>
      </c>
      <c r="M846" t="str">
        <f t="shared" si="67"/>
        <v>100</v>
      </c>
      <c r="N846">
        <v>0</v>
      </c>
      <c r="O846" s="3" t="str">
        <f t="shared" si="68"/>
        <v>Not Specified</v>
      </c>
      <c r="P846">
        <v>0</v>
      </c>
      <c r="Q846" t="str" cm="1">
        <f t="array" ref="Q846">_xlfn.IFS(ISBLANK(P846),"Not Specified",OR(P846="N",P846=FALSE,P846="no",P846=0),"no",TRUE,"yes")</f>
        <v>no</v>
      </c>
      <c r="R846" s="5">
        <v>0.71</v>
      </c>
      <c r="S846">
        <f t="shared" si="69"/>
        <v>71</v>
      </c>
    </row>
    <row r="847" spans="1:19">
      <c r="A847" t="s">
        <v>1776</v>
      </c>
      <c r="B847" t="s">
        <v>1777</v>
      </c>
      <c r="C847" t="s">
        <v>34</v>
      </c>
      <c r="D847" t="str" cm="1">
        <f t="array" ref="D847">_xlfn.IFS(OR(LOWER(C847)="f",LOWER(C847)="female"),"Female",TRUE,"Male")</f>
        <v>Male</v>
      </c>
      <c r="E847">
        <v>54</v>
      </c>
      <c r="F847">
        <f t="shared" si="65"/>
        <v>54</v>
      </c>
      <c r="G847" t="s">
        <v>22</v>
      </c>
      <c r="H847" t="s">
        <v>23</v>
      </c>
      <c r="I847" t="s">
        <v>85</v>
      </c>
      <c r="J847">
        <v>9</v>
      </c>
      <c r="K847">
        <f t="shared" si="66"/>
        <v>9</v>
      </c>
      <c r="L847" t="s">
        <v>321</v>
      </c>
      <c r="M847" t="str">
        <f t="shared" si="67"/>
        <v> 20</v>
      </c>
      <c r="N847">
        <v>0</v>
      </c>
      <c r="O847" s="3" t="str">
        <f t="shared" si="68"/>
        <v>Not Specified</v>
      </c>
      <c r="P847" t="s">
        <v>75</v>
      </c>
      <c r="Q847" t="str" cm="1">
        <f t="array" ref="Q847">_xlfn.IFS(ISBLANK(P847),"Not Specified",OR(P847="N",P847=FALSE,P847="no",P847=0),"no",TRUE,"yes")</f>
        <v>yes</v>
      </c>
      <c r="R847" s="5">
        <v>0.96</v>
      </c>
      <c r="S847">
        <f t="shared" si="69"/>
        <v>96</v>
      </c>
    </row>
    <row r="848" spans="1:19">
      <c r="A848" t="s">
        <v>1778</v>
      </c>
      <c r="B848" t="s">
        <v>1779</v>
      </c>
      <c r="C848" t="s">
        <v>41</v>
      </c>
      <c r="D848" t="str" cm="1">
        <f t="array" ref="D848">_xlfn.IFS(OR(LOWER(C848)="f",LOWER(C848)="female"),"Female",TRUE,"Male")</f>
        <v>Female</v>
      </c>
      <c r="E848">
        <v>53</v>
      </c>
      <c r="F848">
        <f t="shared" si="65"/>
        <v>53</v>
      </c>
      <c r="G848" t="s">
        <v>142</v>
      </c>
      <c r="H848" t="s">
        <v>143</v>
      </c>
      <c r="I848" t="s">
        <v>37</v>
      </c>
      <c r="J848">
        <v>16</v>
      </c>
      <c r="K848">
        <f t="shared" si="66"/>
        <v>16</v>
      </c>
      <c r="L848">
        <v>40</v>
      </c>
      <c r="M848" t="str">
        <f t="shared" si="67"/>
        <v>40</v>
      </c>
      <c r="N848">
        <v>0</v>
      </c>
      <c r="O848" s="3" t="str">
        <f t="shared" si="68"/>
        <v>Not Specified</v>
      </c>
      <c r="P848" t="s">
        <v>166</v>
      </c>
      <c r="Q848" t="str" cm="1">
        <f t="array" ref="Q848">_xlfn.IFS(ISBLANK(P848),"Not Specified",OR(P848="N",P848=FALSE,P848="no",P848=0),"no",TRUE,"yes")</f>
        <v>no</v>
      </c>
      <c r="S848" t="str">
        <f t="shared" si="69"/>
        <v>Not Specified</v>
      </c>
    </row>
    <row r="849" spans="1:19">
      <c r="A849" t="s">
        <v>1780</v>
      </c>
      <c r="B849" t="s">
        <v>1781</v>
      </c>
      <c r="C849" t="s">
        <v>34</v>
      </c>
      <c r="D849" t="str" cm="1">
        <f t="array" ref="D849">_xlfn.IFS(OR(LOWER(C849)="f",LOWER(C849)="female"),"Female",TRUE,"Male")</f>
        <v>Male</v>
      </c>
      <c r="E849">
        <v>22</v>
      </c>
      <c r="F849">
        <f t="shared" si="65"/>
        <v>22</v>
      </c>
      <c r="G849" t="s">
        <v>131</v>
      </c>
      <c r="H849" t="s">
        <v>132</v>
      </c>
      <c r="I849" t="s">
        <v>51</v>
      </c>
      <c r="J849">
        <v>3</v>
      </c>
      <c r="K849">
        <f t="shared" si="66"/>
        <v>3</v>
      </c>
      <c r="L849">
        <v>75</v>
      </c>
      <c r="M849" t="str">
        <f t="shared" si="67"/>
        <v>75</v>
      </c>
      <c r="N849">
        <v>3.4</v>
      </c>
      <c r="O849" s="3">
        <f t="shared" si="68"/>
        <v>3.4</v>
      </c>
      <c r="P849" t="s">
        <v>81</v>
      </c>
      <c r="Q849" t="str" cm="1">
        <f t="array" ref="Q849">_xlfn.IFS(ISBLANK(P849),"Not Specified",OR(P849="N",P849=FALSE,P849="no",P849=0),"no",TRUE,"yes")</f>
        <v>yes</v>
      </c>
      <c r="R849" s="5">
        <v>0.65</v>
      </c>
      <c r="S849">
        <f t="shared" si="69"/>
        <v>65</v>
      </c>
    </row>
    <row r="850" spans="1:19">
      <c r="A850" t="s">
        <v>1782</v>
      </c>
      <c r="B850" t="s">
        <v>1783</v>
      </c>
      <c r="C850" t="s">
        <v>46</v>
      </c>
      <c r="D850" t="str" cm="1">
        <f t="array" ref="D850">_xlfn.IFS(OR(LOWER(C850)="f",LOWER(C850)="female"),"Female",TRUE,"Male")</f>
        <v>Female</v>
      </c>
      <c r="E850">
        <v>23</v>
      </c>
      <c r="F850">
        <f t="shared" si="65"/>
        <v>23</v>
      </c>
      <c r="G850" t="s">
        <v>186</v>
      </c>
      <c r="H850" t="s">
        <v>79</v>
      </c>
      <c r="I850" t="s">
        <v>58</v>
      </c>
      <c r="J850">
        <v>2</v>
      </c>
      <c r="K850">
        <f t="shared" si="66"/>
        <v>2</v>
      </c>
      <c r="L850" t="s">
        <v>321</v>
      </c>
      <c r="M850" t="str">
        <f t="shared" si="67"/>
        <v> 20</v>
      </c>
      <c r="N850">
        <v>1.3</v>
      </c>
      <c r="O850" s="3">
        <f t="shared" si="68"/>
        <v>1.3</v>
      </c>
      <c r="P850" t="s">
        <v>38</v>
      </c>
      <c r="Q850" t="str" cm="1">
        <f t="array" ref="Q850">_xlfn.IFS(ISBLANK(P850),"Not Specified",OR(P850="N",P850=FALSE,P850="no",P850=0),"no",TRUE,"yes")</f>
        <v>no</v>
      </c>
      <c r="S850" t="str">
        <f t="shared" si="69"/>
        <v>Not Specified</v>
      </c>
    </row>
    <row r="851" spans="1:19">
      <c r="A851" t="s">
        <v>1784</v>
      </c>
      <c r="B851" t="s">
        <v>1785</v>
      </c>
      <c r="C851" t="s">
        <v>27</v>
      </c>
      <c r="D851" t="str" cm="1">
        <f t="array" ref="D851">_xlfn.IFS(OR(LOWER(C851)="f",LOWER(C851)="female"),"Female",TRUE,"Male")</f>
        <v>Female</v>
      </c>
      <c r="E851">
        <v>47</v>
      </c>
      <c r="F851">
        <f t="shared" si="65"/>
        <v>47</v>
      </c>
      <c r="G851" t="s">
        <v>142</v>
      </c>
      <c r="H851" t="s">
        <v>143</v>
      </c>
      <c r="I851" t="s">
        <v>85</v>
      </c>
      <c r="J851">
        <v>16</v>
      </c>
      <c r="K851">
        <f t="shared" si="66"/>
        <v>16</v>
      </c>
      <c r="L851">
        <v>50</v>
      </c>
      <c r="M851" t="str">
        <f t="shared" si="67"/>
        <v>50</v>
      </c>
      <c r="N851">
        <v>1.9</v>
      </c>
      <c r="O851" s="3">
        <f t="shared" si="68"/>
        <v>1.9</v>
      </c>
      <c r="P851">
        <v>0</v>
      </c>
      <c r="Q851" t="str" cm="1">
        <f t="array" ref="Q851">_xlfn.IFS(ISBLANK(P851),"Not Specified",OR(P851="N",P851=FALSE,P851="no",P851=0),"no",TRUE,"yes")</f>
        <v>no</v>
      </c>
      <c r="R851" s="5">
        <v>0.71</v>
      </c>
      <c r="S851">
        <f t="shared" si="69"/>
        <v>71</v>
      </c>
    </row>
    <row r="852" spans="1:19">
      <c r="A852" t="s">
        <v>1786</v>
      </c>
      <c r="B852" t="s">
        <v>1787</v>
      </c>
      <c r="C852" t="s">
        <v>104</v>
      </c>
      <c r="D852" t="str" cm="1">
        <f t="array" ref="D852">_xlfn.IFS(OR(LOWER(C852)="f",LOWER(C852)="female"),"Female",TRUE,"Male")</f>
        <v>Male</v>
      </c>
      <c r="E852">
        <v>24</v>
      </c>
      <c r="F852">
        <f t="shared" si="65"/>
        <v>24</v>
      </c>
      <c r="G852" t="s">
        <v>142</v>
      </c>
      <c r="H852" t="s">
        <v>143</v>
      </c>
      <c r="I852" t="s">
        <v>42</v>
      </c>
      <c r="J852">
        <v>6</v>
      </c>
      <c r="K852">
        <f t="shared" si="66"/>
        <v>6</v>
      </c>
      <c r="L852">
        <v>50</v>
      </c>
      <c r="M852" t="str">
        <f t="shared" si="67"/>
        <v>50</v>
      </c>
      <c r="N852">
        <v>1.4</v>
      </c>
      <c r="O852" s="3">
        <f t="shared" si="68"/>
        <v>1.4</v>
      </c>
      <c r="P852" t="s">
        <v>81</v>
      </c>
      <c r="Q852" t="str" cm="1">
        <f t="array" ref="Q852">_xlfn.IFS(ISBLANK(P852),"Not Specified",OR(P852="N",P852=FALSE,P852="no",P852=0),"no",TRUE,"yes")</f>
        <v>yes</v>
      </c>
      <c r="R852">
        <v>63</v>
      </c>
      <c r="S852">
        <f t="shared" si="69"/>
        <v>63</v>
      </c>
    </row>
    <row r="853" spans="1:19">
      <c r="A853" t="s">
        <v>1788</v>
      </c>
      <c r="B853" t="s">
        <v>1789</v>
      </c>
      <c r="C853" t="s">
        <v>21</v>
      </c>
      <c r="D853" t="str" cm="1">
        <f t="array" ref="D853">_xlfn.IFS(OR(LOWER(C853)="f",LOWER(C853)="female"),"Female",TRUE,"Male")</f>
        <v>Female</v>
      </c>
      <c r="E853">
        <v>57</v>
      </c>
      <c r="F853">
        <f t="shared" si="65"/>
        <v>57</v>
      </c>
      <c r="G853" t="s">
        <v>100</v>
      </c>
      <c r="H853" t="s">
        <v>101</v>
      </c>
      <c r="I853" t="s">
        <v>80</v>
      </c>
      <c r="J853">
        <v>10</v>
      </c>
      <c r="K853">
        <f t="shared" si="66"/>
        <v>10</v>
      </c>
      <c r="L853" t="s">
        <v>236</v>
      </c>
      <c r="M853" t="str">
        <f t="shared" si="67"/>
        <v>100</v>
      </c>
      <c r="N853">
        <v>4.3</v>
      </c>
      <c r="O853" s="3">
        <f t="shared" si="68"/>
        <v>4.3</v>
      </c>
      <c r="P853" t="b">
        <v>0</v>
      </c>
      <c r="Q853" t="str" cm="1">
        <f t="array" ref="Q853">_xlfn.IFS(ISBLANK(P853),"Not Specified",OR(P853="N",P853=FALSE,P853="no",P853=0),"no",TRUE,"yes")</f>
        <v>no</v>
      </c>
      <c r="S853" t="str">
        <f t="shared" si="69"/>
        <v>Not Specified</v>
      </c>
    </row>
    <row r="854" spans="1:19">
      <c r="A854" t="s">
        <v>1790</v>
      </c>
      <c r="B854" t="s">
        <v>1791</v>
      </c>
      <c r="C854" t="s">
        <v>104</v>
      </c>
      <c r="D854" t="str" cm="1">
        <f t="array" ref="D854">_xlfn.IFS(OR(LOWER(C854)="f",LOWER(C854)="female"),"Female",TRUE,"Male")</f>
        <v>Male</v>
      </c>
      <c r="E854">
        <v>48</v>
      </c>
      <c r="F854">
        <f t="shared" si="65"/>
        <v>48</v>
      </c>
      <c r="G854" t="s">
        <v>197</v>
      </c>
      <c r="H854" t="s">
        <v>79</v>
      </c>
      <c r="I854" t="s">
        <v>37</v>
      </c>
      <c r="J854">
        <v>16</v>
      </c>
      <c r="K854">
        <f t="shared" si="66"/>
        <v>16</v>
      </c>
      <c r="L854" t="s">
        <v>52</v>
      </c>
      <c r="M854" t="str">
        <f t="shared" si="67"/>
        <v>30</v>
      </c>
      <c r="O854" s="3" t="str">
        <f t="shared" si="68"/>
        <v>Not Specified</v>
      </c>
      <c r="P854" t="s">
        <v>166</v>
      </c>
      <c r="Q854" t="str" cm="1">
        <f t="array" ref="Q854">_xlfn.IFS(ISBLANK(P854),"Not Specified",OR(P854="N",P854=FALSE,P854="no",P854=0),"no",TRUE,"yes")</f>
        <v>no</v>
      </c>
      <c r="R854" s="5">
        <v>0.97</v>
      </c>
      <c r="S854">
        <f t="shared" si="69"/>
        <v>97</v>
      </c>
    </row>
    <row r="855" spans="1:19">
      <c r="A855" t="s">
        <v>1792</v>
      </c>
      <c r="B855" t="s">
        <v>1793</v>
      </c>
      <c r="C855" t="s">
        <v>84</v>
      </c>
      <c r="D855" t="str" cm="1">
        <f t="array" ref="D855">_xlfn.IFS(OR(LOWER(C855)="f",LOWER(C855)="female"),"Female",TRUE,"Male")</f>
        <v>Female</v>
      </c>
      <c r="E855">
        <v>21</v>
      </c>
      <c r="F855">
        <f t="shared" si="65"/>
        <v>21</v>
      </c>
      <c r="G855" t="s">
        <v>69</v>
      </c>
      <c r="H855" t="s">
        <v>70</v>
      </c>
      <c r="I855" t="s">
        <v>80</v>
      </c>
      <c r="J855">
        <v>0</v>
      </c>
      <c r="K855">
        <f t="shared" si="66"/>
        <v>0</v>
      </c>
      <c r="L855" t="s">
        <v>236</v>
      </c>
      <c r="M855" t="str">
        <f t="shared" si="67"/>
        <v>100</v>
      </c>
      <c r="N855">
        <v>4.3</v>
      </c>
      <c r="O855" s="3">
        <f t="shared" si="68"/>
        <v>4.3</v>
      </c>
      <c r="P855">
        <v>0</v>
      </c>
      <c r="Q855" t="str" cm="1">
        <f t="array" ref="Q855">_xlfn.IFS(ISBLANK(P855),"Not Specified",OR(P855="N",P855=FALSE,P855="no",P855=0),"no",TRUE,"yes")</f>
        <v>no</v>
      </c>
      <c r="S855" t="str">
        <f t="shared" si="69"/>
        <v>Not Specified</v>
      </c>
    </row>
    <row r="856" spans="1:19">
      <c r="A856" t="s">
        <v>1794</v>
      </c>
      <c r="B856" t="s">
        <v>1795</v>
      </c>
      <c r="C856" t="s">
        <v>55</v>
      </c>
      <c r="D856" t="str" cm="1">
        <f t="array" ref="D856">_xlfn.IFS(OR(LOWER(C856)="f",LOWER(C856)="female"),"Female",TRUE,"Male")</f>
        <v>Male</v>
      </c>
      <c r="E856">
        <v>33</v>
      </c>
      <c r="F856">
        <f t="shared" si="65"/>
        <v>33</v>
      </c>
      <c r="G856" t="s">
        <v>92</v>
      </c>
      <c r="H856" t="s">
        <v>93</v>
      </c>
      <c r="I856" t="s">
        <v>51</v>
      </c>
      <c r="J856">
        <v>13</v>
      </c>
      <c r="K856">
        <f t="shared" si="66"/>
        <v>13</v>
      </c>
      <c r="L856" t="s">
        <v>59</v>
      </c>
      <c r="M856" t="str">
        <f t="shared" si="67"/>
        <v> 75</v>
      </c>
      <c r="N856">
        <v>0</v>
      </c>
      <c r="O856" s="3" t="str">
        <f t="shared" si="68"/>
        <v>Not Specified</v>
      </c>
      <c r="P856" t="b">
        <v>1</v>
      </c>
      <c r="Q856" t="str" cm="1">
        <f t="array" ref="Q856">_xlfn.IFS(ISBLANK(P856),"Not Specified",OR(P856="N",P856=FALSE,P856="no",P856=0),"no",TRUE,"yes")</f>
        <v>yes</v>
      </c>
      <c r="S856" t="str">
        <f t="shared" si="69"/>
        <v>Not Specified</v>
      </c>
    </row>
    <row r="857" spans="1:19">
      <c r="A857" t="s">
        <v>1796</v>
      </c>
      <c r="B857" t="s">
        <v>1797</v>
      </c>
      <c r="C857" t="s">
        <v>104</v>
      </c>
      <c r="D857" t="str" cm="1">
        <f t="array" ref="D857">_xlfn.IFS(OR(LOWER(C857)="f",LOWER(C857)="female"),"Female",TRUE,"Male")</f>
        <v>Male</v>
      </c>
      <c r="E857">
        <v>41</v>
      </c>
      <c r="F857">
        <f t="shared" si="65"/>
        <v>41</v>
      </c>
      <c r="G857" t="s">
        <v>69</v>
      </c>
      <c r="H857" t="s">
        <v>70</v>
      </c>
      <c r="I857" t="s">
        <v>96</v>
      </c>
      <c r="J857">
        <v>12</v>
      </c>
      <c r="K857">
        <f t="shared" si="66"/>
        <v>12</v>
      </c>
      <c r="M857" t="str">
        <f t="shared" si="67"/>
        <v>Not Specified</v>
      </c>
      <c r="N857">
        <v>1.3</v>
      </c>
      <c r="O857" s="3">
        <f t="shared" si="68"/>
        <v>1.3</v>
      </c>
      <c r="P857">
        <v>0</v>
      </c>
      <c r="Q857" t="str" cm="1">
        <f t="array" ref="Q857">_xlfn.IFS(ISBLANK(P857),"Not Specified",OR(P857="N",P857=FALSE,P857="no",P857=0),"no",TRUE,"yes")</f>
        <v>no</v>
      </c>
      <c r="R857" s="5">
        <v>0.85</v>
      </c>
      <c r="S857">
        <f t="shared" si="69"/>
        <v>85</v>
      </c>
    </row>
    <row r="858" spans="1:19">
      <c r="A858" t="s">
        <v>1798</v>
      </c>
      <c r="B858" t="s">
        <v>1799</v>
      </c>
      <c r="C858" t="s">
        <v>68</v>
      </c>
      <c r="D858" t="str" cm="1">
        <f t="array" ref="D858">_xlfn.IFS(OR(LOWER(C858)="f",LOWER(C858)="female"),"Female",TRUE,"Male")</f>
        <v>Male</v>
      </c>
      <c r="E858">
        <v>40</v>
      </c>
      <c r="F858">
        <f t="shared" si="65"/>
        <v>40</v>
      </c>
      <c r="G858" t="s">
        <v>28</v>
      </c>
      <c r="H858" t="s">
        <v>29</v>
      </c>
      <c r="I858" t="s">
        <v>85</v>
      </c>
      <c r="J858">
        <v>13</v>
      </c>
      <c r="K858">
        <f t="shared" si="66"/>
        <v>13</v>
      </c>
      <c r="L858" t="s">
        <v>105</v>
      </c>
      <c r="M858" t="str">
        <f t="shared" si="67"/>
        <v> 50</v>
      </c>
      <c r="N858">
        <v>2.9</v>
      </c>
      <c r="O858" s="3">
        <f t="shared" si="68"/>
        <v>2.9</v>
      </c>
      <c r="P858" t="s">
        <v>166</v>
      </c>
      <c r="Q858" t="str" cm="1">
        <f t="array" ref="Q858">_xlfn.IFS(ISBLANK(P858),"Not Specified",OR(P858="N",P858=FALSE,P858="no",P858=0),"no",TRUE,"yes")</f>
        <v>no</v>
      </c>
      <c r="R858" s="5">
        <v>0.82</v>
      </c>
      <c r="S858">
        <f t="shared" si="69"/>
        <v>82</v>
      </c>
    </row>
    <row r="859" spans="1:19">
      <c r="A859" t="s">
        <v>1800</v>
      </c>
      <c r="B859" t="s">
        <v>1801</v>
      </c>
      <c r="C859" t="s">
        <v>21</v>
      </c>
      <c r="D859" t="str" cm="1">
        <f t="array" ref="D859">_xlfn.IFS(OR(LOWER(C859)="f",LOWER(C859)="female"),"Female",TRUE,"Male")</f>
        <v>Female</v>
      </c>
      <c r="E859">
        <v>40</v>
      </c>
      <c r="F859">
        <f t="shared" si="65"/>
        <v>40</v>
      </c>
      <c r="G859" t="s">
        <v>186</v>
      </c>
      <c r="H859" t="s">
        <v>79</v>
      </c>
      <c r="I859" t="s">
        <v>37</v>
      </c>
      <c r="J859">
        <v>22</v>
      </c>
      <c r="K859">
        <f t="shared" si="66"/>
        <v>22</v>
      </c>
      <c r="L859" t="s">
        <v>62</v>
      </c>
      <c r="M859" t="str">
        <f t="shared" si="67"/>
        <v> 40</v>
      </c>
      <c r="N859">
        <v>4.3</v>
      </c>
      <c r="O859" s="3">
        <f t="shared" si="68"/>
        <v>4.3</v>
      </c>
      <c r="P859">
        <v>0</v>
      </c>
      <c r="Q859" t="str" cm="1">
        <f t="array" ref="Q859">_xlfn.IFS(ISBLANK(P859),"Not Specified",OR(P859="N",P859=FALSE,P859="no",P859=0),"no",TRUE,"yes")</f>
        <v>no</v>
      </c>
      <c r="R859" s="5">
        <v>0.95</v>
      </c>
      <c r="S859">
        <f t="shared" si="69"/>
        <v>95</v>
      </c>
    </row>
    <row r="860" spans="1:19">
      <c r="A860" t="s">
        <v>1802</v>
      </c>
      <c r="B860" t="s">
        <v>1803</v>
      </c>
      <c r="C860" t="s">
        <v>84</v>
      </c>
      <c r="D860" t="str" cm="1">
        <f t="array" ref="D860">_xlfn.IFS(OR(LOWER(C860)="f",LOWER(C860)="female"),"Female",TRUE,"Male")</f>
        <v>Female</v>
      </c>
      <c r="E860">
        <v>20</v>
      </c>
      <c r="F860">
        <f t="shared" si="65"/>
        <v>20</v>
      </c>
      <c r="G860" t="s">
        <v>65</v>
      </c>
      <c r="H860" t="s">
        <v>29</v>
      </c>
      <c r="I860" t="s">
        <v>37</v>
      </c>
      <c r="J860">
        <v>1</v>
      </c>
      <c r="K860">
        <f t="shared" si="66"/>
        <v>1</v>
      </c>
      <c r="M860" t="str">
        <f t="shared" si="67"/>
        <v>Not Specified</v>
      </c>
      <c r="N860">
        <v>2.7</v>
      </c>
      <c r="O860" s="3">
        <f t="shared" si="68"/>
        <v>2.7</v>
      </c>
      <c r="P860">
        <v>0</v>
      </c>
      <c r="Q860" t="str" cm="1">
        <f t="array" ref="Q860">_xlfn.IFS(ISBLANK(P860),"Not Specified",OR(P860="N",P860=FALSE,P860="no",P860=0),"no",TRUE,"yes")</f>
        <v>no</v>
      </c>
      <c r="R860">
        <v>94</v>
      </c>
      <c r="S860">
        <f t="shared" si="69"/>
        <v>94</v>
      </c>
    </row>
    <row r="861" spans="1:19">
      <c r="A861" t="s">
        <v>1804</v>
      </c>
      <c r="B861" t="s">
        <v>1805</v>
      </c>
      <c r="C861" t="s">
        <v>41</v>
      </c>
      <c r="D861" t="str" cm="1">
        <f t="array" ref="D861">_xlfn.IFS(OR(LOWER(C861)="f",LOWER(C861)="female"),"Female",TRUE,"Male")</f>
        <v>Female</v>
      </c>
      <c r="E861">
        <v>42</v>
      </c>
      <c r="F861">
        <f t="shared" si="65"/>
        <v>42</v>
      </c>
      <c r="G861" t="s">
        <v>186</v>
      </c>
      <c r="H861" t="s">
        <v>79</v>
      </c>
      <c r="I861" t="s">
        <v>42</v>
      </c>
      <c r="K861" t="str">
        <f t="shared" si="66"/>
        <v>Not Specified</v>
      </c>
      <c r="L861" t="s">
        <v>71</v>
      </c>
      <c r="M861" t="str">
        <f t="shared" si="67"/>
        <v>50</v>
      </c>
      <c r="N861">
        <v>4.2</v>
      </c>
      <c r="O861" s="3">
        <f t="shared" si="68"/>
        <v>4.2</v>
      </c>
      <c r="Q861" t="str" cm="1">
        <f t="array" ref="Q861">_xlfn.IFS(ISBLANK(P861),"Not Specified",OR(P861="N",P861=FALSE,P861="no",P861=0),"no",TRUE,"yes")</f>
        <v>Not Specified</v>
      </c>
      <c r="R861" s="5">
        <v>0.96</v>
      </c>
      <c r="S861">
        <f t="shared" si="69"/>
        <v>96</v>
      </c>
    </row>
    <row r="862" spans="1:19">
      <c r="A862" t="s">
        <v>1806</v>
      </c>
      <c r="B862" t="s">
        <v>1807</v>
      </c>
      <c r="C862" t="s">
        <v>55</v>
      </c>
      <c r="D862" t="str" cm="1">
        <f t="array" ref="D862">_xlfn.IFS(OR(LOWER(C862)="f",LOWER(C862)="female"),"Female",TRUE,"Male")</f>
        <v>Male</v>
      </c>
      <c r="E862">
        <v>32</v>
      </c>
      <c r="F862">
        <f t="shared" si="65"/>
        <v>32</v>
      </c>
      <c r="G862" t="s">
        <v>135</v>
      </c>
      <c r="H862" t="s">
        <v>29</v>
      </c>
      <c r="I862" t="s">
        <v>24</v>
      </c>
      <c r="J862">
        <v>12</v>
      </c>
      <c r="K862">
        <f t="shared" si="66"/>
        <v>12</v>
      </c>
      <c r="L862">
        <v>40</v>
      </c>
      <c r="M862" t="str">
        <f t="shared" si="67"/>
        <v>40</v>
      </c>
      <c r="N862">
        <v>0</v>
      </c>
      <c r="O862" s="3" t="str">
        <f t="shared" si="68"/>
        <v>Not Specified</v>
      </c>
      <c r="P862" t="s">
        <v>75</v>
      </c>
      <c r="Q862" t="str" cm="1">
        <f t="array" ref="Q862">_xlfn.IFS(ISBLANK(P862),"Not Specified",OR(P862="N",P862=FALSE,P862="no",P862=0),"no",TRUE,"yes")</f>
        <v>yes</v>
      </c>
      <c r="R862" s="5">
        <v>0.63</v>
      </c>
      <c r="S862">
        <f t="shared" si="69"/>
        <v>63</v>
      </c>
    </row>
    <row r="863" spans="1:19">
      <c r="A863" t="s">
        <v>1808</v>
      </c>
      <c r="B863" t="s">
        <v>1809</v>
      </c>
      <c r="C863" t="s">
        <v>104</v>
      </c>
      <c r="D863" t="str" cm="1">
        <f t="array" ref="D863">_xlfn.IFS(OR(LOWER(C863)="f",LOWER(C863)="female"),"Female",TRUE,"Male")</f>
        <v>Male</v>
      </c>
      <c r="E863">
        <v>60</v>
      </c>
      <c r="F863">
        <f t="shared" si="65"/>
        <v>60</v>
      </c>
      <c r="G863" t="s">
        <v>92</v>
      </c>
      <c r="H863" t="s">
        <v>93</v>
      </c>
      <c r="I863" t="s">
        <v>51</v>
      </c>
      <c r="K863" t="str">
        <f t="shared" si="66"/>
        <v>Not Specified</v>
      </c>
      <c r="L863">
        <v>20</v>
      </c>
      <c r="M863" t="str">
        <f t="shared" si="67"/>
        <v>20</v>
      </c>
      <c r="N863">
        <v>2.2</v>
      </c>
      <c r="O863" s="3">
        <f t="shared" si="68"/>
        <v>2.2</v>
      </c>
      <c r="P863" t="b">
        <v>0</v>
      </c>
      <c r="Q863" t="str" cm="1">
        <f t="array" ref="Q863">_xlfn.IFS(ISBLANK(P863),"Not Specified",OR(P863="N",P863=FALSE,P863="no",P863=0),"no",TRUE,"yes")</f>
        <v>no</v>
      </c>
      <c r="R863" s="5">
        <v>0.6</v>
      </c>
      <c r="S863">
        <f t="shared" si="69"/>
        <v>60</v>
      </c>
    </row>
    <row r="864" spans="1:19">
      <c r="A864" t="s">
        <v>1810</v>
      </c>
      <c r="B864" t="s">
        <v>1811</v>
      </c>
      <c r="C864" t="s">
        <v>99</v>
      </c>
      <c r="D864" t="str" cm="1">
        <f t="array" ref="D864">_xlfn.IFS(OR(LOWER(C864)="f",LOWER(C864)="female"),"Female",TRUE,"Male")</f>
        <v>Male</v>
      </c>
      <c r="E864">
        <v>46</v>
      </c>
      <c r="F864">
        <f t="shared" si="65"/>
        <v>46</v>
      </c>
      <c r="G864" t="s">
        <v>146</v>
      </c>
      <c r="H864" t="s">
        <v>147</v>
      </c>
      <c r="I864" t="s">
        <v>121</v>
      </c>
      <c r="J864">
        <v>12</v>
      </c>
      <c r="K864">
        <f t="shared" si="66"/>
        <v>12</v>
      </c>
      <c r="L864">
        <v>50</v>
      </c>
      <c r="M864" t="str">
        <f t="shared" si="67"/>
        <v>50</v>
      </c>
      <c r="N864">
        <v>4.7</v>
      </c>
      <c r="O864" s="3">
        <f t="shared" si="68"/>
        <v>4.7</v>
      </c>
      <c r="P864" t="s">
        <v>75</v>
      </c>
      <c r="Q864" t="str" cm="1">
        <f t="array" ref="Q864">_xlfn.IFS(ISBLANK(P864),"Not Specified",OR(P864="N",P864=FALSE,P864="no",P864=0),"no",TRUE,"yes")</f>
        <v>yes</v>
      </c>
      <c r="R864" s="5">
        <v>0.77</v>
      </c>
      <c r="S864">
        <f t="shared" si="69"/>
        <v>77</v>
      </c>
    </row>
    <row r="865" spans="1:19">
      <c r="A865" t="s">
        <v>1812</v>
      </c>
      <c r="B865" t="s">
        <v>1813</v>
      </c>
      <c r="C865" t="s">
        <v>34</v>
      </c>
      <c r="D865" t="str" cm="1">
        <f t="array" ref="D865">_xlfn.IFS(OR(LOWER(C865)="f",LOWER(C865)="female"),"Female",TRUE,"Male")</f>
        <v>Male</v>
      </c>
      <c r="E865">
        <v>29</v>
      </c>
      <c r="F865">
        <f t="shared" si="65"/>
        <v>29</v>
      </c>
      <c r="G865" t="s">
        <v>182</v>
      </c>
      <c r="H865" t="s">
        <v>183</v>
      </c>
      <c r="I865" t="s">
        <v>96</v>
      </c>
      <c r="J865">
        <v>0</v>
      </c>
      <c r="K865">
        <f t="shared" si="66"/>
        <v>0</v>
      </c>
      <c r="L865">
        <v>30</v>
      </c>
      <c r="M865" t="str">
        <f t="shared" si="67"/>
        <v>30</v>
      </c>
      <c r="N865">
        <v>0</v>
      </c>
      <c r="O865" s="3" t="str">
        <f t="shared" si="68"/>
        <v>Not Specified</v>
      </c>
      <c r="P865">
        <v>0</v>
      </c>
      <c r="Q865" t="str" cm="1">
        <f t="array" ref="Q865">_xlfn.IFS(ISBLANK(P865),"Not Specified",OR(P865="N",P865=FALSE,P865="no",P865=0),"no",TRUE,"yes")</f>
        <v>no</v>
      </c>
      <c r="R865" s="5">
        <v>0.63</v>
      </c>
      <c r="S865">
        <f t="shared" si="69"/>
        <v>63</v>
      </c>
    </row>
    <row r="866" spans="1:19">
      <c r="A866" t="s">
        <v>1814</v>
      </c>
      <c r="B866" t="s">
        <v>1815</v>
      </c>
      <c r="C866" t="s">
        <v>27</v>
      </c>
      <c r="D866" t="str" cm="1">
        <f t="array" ref="D866">_xlfn.IFS(OR(LOWER(C866)="f",LOWER(C866)="female"),"Female",TRUE,"Male")</f>
        <v>Female</v>
      </c>
      <c r="E866">
        <v>39</v>
      </c>
      <c r="F866">
        <f t="shared" si="65"/>
        <v>39</v>
      </c>
      <c r="G866" t="s">
        <v>114</v>
      </c>
      <c r="H866" t="s">
        <v>115</v>
      </c>
      <c r="I866" t="s">
        <v>30</v>
      </c>
      <c r="J866">
        <v>18</v>
      </c>
      <c r="K866">
        <f t="shared" si="66"/>
        <v>18</v>
      </c>
      <c r="L866">
        <v>20</v>
      </c>
      <c r="M866" t="str">
        <f t="shared" si="67"/>
        <v>20</v>
      </c>
      <c r="N866">
        <v>2.5</v>
      </c>
      <c r="O866" s="3">
        <f t="shared" si="68"/>
        <v>2.5</v>
      </c>
      <c r="P866" t="s">
        <v>75</v>
      </c>
      <c r="Q866" t="str" cm="1">
        <f t="array" ref="Q866">_xlfn.IFS(ISBLANK(P866),"Not Specified",OR(P866="N",P866=FALSE,P866="no",P866=0),"no",TRUE,"yes")</f>
        <v>yes</v>
      </c>
      <c r="R866" s="5">
        <v>0.61</v>
      </c>
      <c r="S866">
        <f t="shared" si="69"/>
        <v>61</v>
      </c>
    </row>
    <row r="867" spans="1:19">
      <c r="A867" t="s">
        <v>1816</v>
      </c>
      <c r="B867" t="s">
        <v>1817</v>
      </c>
      <c r="C867" t="s">
        <v>68</v>
      </c>
      <c r="D867" t="str" cm="1">
        <f t="array" ref="D867">_xlfn.IFS(OR(LOWER(C867)="f",LOWER(C867)="female"),"Female",TRUE,"Male")</f>
        <v>Male</v>
      </c>
      <c r="E867">
        <v>55</v>
      </c>
      <c r="F867">
        <f t="shared" si="65"/>
        <v>55</v>
      </c>
      <c r="G867" t="s">
        <v>131</v>
      </c>
      <c r="H867" t="s">
        <v>132</v>
      </c>
      <c r="I867" t="s">
        <v>30</v>
      </c>
      <c r="J867">
        <v>2</v>
      </c>
      <c r="K867">
        <f t="shared" si="66"/>
        <v>2</v>
      </c>
      <c r="L867" t="s">
        <v>71</v>
      </c>
      <c r="M867" t="str">
        <f t="shared" si="67"/>
        <v>50</v>
      </c>
      <c r="N867">
        <v>3.9</v>
      </c>
      <c r="O867" s="3">
        <f t="shared" si="68"/>
        <v>3.9</v>
      </c>
      <c r="P867" t="s">
        <v>75</v>
      </c>
      <c r="Q867" t="str" cm="1">
        <f t="array" ref="Q867">_xlfn.IFS(ISBLANK(P867),"Not Specified",OR(P867="N",P867=FALSE,P867="no",P867=0),"no",TRUE,"yes")</f>
        <v>yes</v>
      </c>
      <c r="R867" s="5">
        <v>0.88</v>
      </c>
      <c r="S867">
        <f t="shared" si="69"/>
        <v>88</v>
      </c>
    </row>
    <row r="868" spans="1:19">
      <c r="A868" t="s">
        <v>1818</v>
      </c>
      <c r="B868" t="s">
        <v>1819</v>
      </c>
      <c r="C868" t="s">
        <v>55</v>
      </c>
      <c r="D868" t="str" cm="1">
        <f t="array" ref="D868">_xlfn.IFS(OR(LOWER(C868)="f",LOWER(C868)="female"),"Female",TRUE,"Male")</f>
        <v>Male</v>
      </c>
      <c r="E868">
        <v>55</v>
      </c>
      <c r="F868">
        <f t="shared" si="65"/>
        <v>55</v>
      </c>
      <c r="G868" t="s">
        <v>69</v>
      </c>
      <c r="H868" t="s">
        <v>70</v>
      </c>
      <c r="I868" t="s">
        <v>85</v>
      </c>
      <c r="K868" t="str">
        <f t="shared" si="66"/>
        <v>Not Specified</v>
      </c>
      <c r="L868" t="s">
        <v>31</v>
      </c>
      <c r="M868" t="str">
        <f t="shared" si="67"/>
        <v> 100</v>
      </c>
      <c r="N868">
        <v>1.2</v>
      </c>
      <c r="O868" s="3">
        <f t="shared" si="68"/>
        <v>1.2</v>
      </c>
      <c r="P868">
        <v>1</v>
      </c>
      <c r="Q868" t="str" cm="1">
        <f t="array" ref="Q868">_xlfn.IFS(ISBLANK(P868),"Not Specified",OR(P868="N",P868=FALSE,P868="no",P868=0),"no",TRUE,"yes")</f>
        <v>yes</v>
      </c>
      <c r="R868" s="5">
        <v>0.69</v>
      </c>
      <c r="S868">
        <f t="shared" si="69"/>
        <v>69</v>
      </c>
    </row>
    <row r="869" spans="1:19">
      <c r="A869" t="s">
        <v>1820</v>
      </c>
      <c r="B869" t="s">
        <v>1821</v>
      </c>
      <c r="C869" t="s">
        <v>104</v>
      </c>
      <c r="D869" t="str" cm="1">
        <f t="array" ref="D869">_xlfn.IFS(OR(LOWER(C869)="f",LOWER(C869)="female"),"Female",TRUE,"Male")</f>
        <v>Male</v>
      </c>
      <c r="E869">
        <v>40</v>
      </c>
      <c r="F869">
        <f t="shared" si="65"/>
        <v>40</v>
      </c>
      <c r="G869" t="s">
        <v>56</v>
      </c>
      <c r="H869" t="s">
        <v>57</v>
      </c>
      <c r="I869" t="s">
        <v>58</v>
      </c>
      <c r="J869">
        <v>2</v>
      </c>
      <c r="K869">
        <f t="shared" si="66"/>
        <v>2</v>
      </c>
      <c r="L869">
        <v>75</v>
      </c>
      <c r="M869" t="str">
        <f t="shared" si="67"/>
        <v>75</v>
      </c>
      <c r="N869">
        <v>4.5</v>
      </c>
      <c r="O869" s="3">
        <f t="shared" si="68"/>
        <v>4.5</v>
      </c>
      <c r="P869" t="s">
        <v>75</v>
      </c>
      <c r="Q869" t="str" cm="1">
        <f t="array" ref="Q869">_xlfn.IFS(ISBLANK(P869),"Not Specified",OR(P869="N",P869=FALSE,P869="no",P869=0),"no",TRUE,"yes")</f>
        <v>yes</v>
      </c>
      <c r="S869" t="str">
        <f t="shared" si="69"/>
        <v>Not Specified</v>
      </c>
    </row>
    <row r="870" spans="1:19">
      <c r="A870" t="s">
        <v>1822</v>
      </c>
      <c r="B870" t="s">
        <v>1823</v>
      </c>
      <c r="C870" t="s">
        <v>21</v>
      </c>
      <c r="D870" t="str" cm="1">
        <f t="array" ref="D870">_xlfn.IFS(OR(LOWER(C870)="f",LOWER(C870)="female"),"Female",TRUE,"Male")</f>
        <v>Female</v>
      </c>
      <c r="E870">
        <v>56</v>
      </c>
      <c r="F870">
        <f t="shared" si="65"/>
        <v>56</v>
      </c>
      <c r="G870" t="s">
        <v>182</v>
      </c>
      <c r="H870" t="s">
        <v>183</v>
      </c>
      <c r="I870" t="s">
        <v>80</v>
      </c>
      <c r="J870">
        <v>35</v>
      </c>
      <c r="K870">
        <f t="shared" si="66"/>
        <v>35</v>
      </c>
      <c r="L870" t="s">
        <v>43</v>
      </c>
      <c r="M870" t="str">
        <f t="shared" si="67"/>
        <v>40</v>
      </c>
      <c r="N870">
        <v>2.7</v>
      </c>
      <c r="O870" s="3">
        <f t="shared" si="68"/>
        <v>2.7</v>
      </c>
      <c r="P870" t="b">
        <v>1</v>
      </c>
      <c r="Q870" t="str" cm="1">
        <f t="array" ref="Q870">_xlfn.IFS(ISBLANK(P870),"Not Specified",OR(P870="N",P870=FALSE,P870="no",P870=0),"no",TRUE,"yes")</f>
        <v>yes</v>
      </c>
      <c r="R870" s="5">
        <v>0.82</v>
      </c>
      <c r="S870">
        <f t="shared" si="69"/>
        <v>82</v>
      </c>
    </row>
    <row r="871" spans="1:19">
      <c r="A871" t="s">
        <v>1824</v>
      </c>
      <c r="B871" t="s">
        <v>1825</v>
      </c>
      <c r="C871" t="s">
        <v>68</v>
      </c>
      <c r="D871" t="str" cm="1">
        <f t="array" ref="D871">_xlfn.IFS(OR(LOWER(C871)="f",LOWER(C871)="female"),"Female",TRUE,"Male")</f>
        <v>Male</v>
      </c>
      <c r="E871">
        <v>57</v>
      </c>
      <c r="F871">
        <f t="shared" si="65"/>
        <v>57</v>
      </c>
      <c r="G871" t="s">
        <v>186</v>
      </c>
      <c r="H871" t="s">
        <v>79</v>
      </c>
      <c r="I871" t="s">
        <v>30</v>
      </c>
      <c r="J871">
        <v>21</v>
      </c>
      <c r="K871">
        <f t="shared" si="66"/>
        <v>21</v>
      </c>
      <c r="L871">
        <v>75</v>
      </c>
      <c r="M871" t="str">
        <f t="shared" si="67"/>
        <v>75</v>
      </c>
      <c r="N871">
        <v>2</v>
      </c>
      <c r="O871" s="3">
        <f t="shared" si="68"/>
        <v>2</v>
      </c>
      <c r="P871" t="s">
        <v>38</v>
      </c>
      <c r="Q871" t="str" cm="1">
        <f t="array" ref="Q871">_xlfn.IFS(ISBLANK(P871),"Not Specified",OR(P871="N",P871=FALSE,P871="no",P871=0),"no",TRUE,"yes")</f>
        <v>no</v>
      </c>
      <c r="R871" s="5">
        <v>0.96</v>
      </c>
      <c r="S871">
        <f t="shared" si="69"/>
        <v>96</v>
      </c>
    </row>
    <row r="872" spans="1:19">
      <c r="A872" t="s">
        <v>1826</v>
      </c>
      <c r="B872" t="s">
        <v>1827</v>
      </c>
      <c r="C872" t="s">
        <v>41</v>
      </c>
      <c r="D872" t="str" cm="1">
        <f t="array" ref="D872">_xlfn.IFS(OR(LOWER(C872)="f",LOWER(C872)="female"),"Female",TRUE,"Male")</f>
        <v>Female</v>
      </c>
      <c r="E872">
        <v>56</v>
      </c>
      <c r="F872">
        <f t="shared" si="65"/>
        <v>56</v>
      </c>
      <c r="G872" t="s">
        <v>131</v>
      </c>
      <c r="H872" t="s">
        <v>132</v>
      </c>
      <c r="I872" t="s">
        <v>96</v>
      </c>
      <c r="J872">
        <v>3</v>
      </c>
      <c r="K872">
        <f t="shared" si="66"/>
        <v>3</v>
      </c>
      <c r="L872" t="s">
        <v>43</v>
      </c>
      <c r="M872" t="str">
        <f t="shared" si="67"/>
        <v>40</v>
      </c>
      <c r="N872">
        <v>1.7</v>
      </c>
      <c r="O872" s="3">
        <f t="shared" si="68"/>
        <v>1.7</v>
      </c>
      <c r="P872" t="s">
        <v>38</v>
      </c>
      <c r="Q872" t="str" cm="1">
        <f t="array" ref="Q872">_xlfn.IFS(ISBLANK(P872),"Not Specified",OR(P872="N",P872=FALSE,P872="no",P872=0),"no",TRUE,"yes")</f>
        <v>no</v>
      </c>
      <c r="R872" s="5">
        <v>0.71</v>
      </c>
      <c r="S872">
        <f t="shared" si="69"/>
        <v>71</v>
      </c>
    </row>
    <row r="873" spans="1:19">
      <c r="A873" t="s">
        <v>1828</v>
      </c>
      <c r="B873" t="s">
        <v>1829</v>
      </c>
      <c r="C873" t="s">
        <v>21</v>
      </c>
      <c r="D873" t="str" cm="1">
        <f t="array" ref="D873">_xlfn.IFS(OR(LOWER(C873)="f",LOWER(C873)="female"),"Female",TRUE,"Male")</f>
        <v>Female</v>
      </c>
      <c r="E873">
        <v>49</v>
      </c>
      <c r="F873">
        <f t="shared" si="65"/>
        <v>49</v>
      </c>
      <c r="G873" t="s">
        <v>35</v>
      </c>
      <c r="H873" t="s">
        <v>36</v>
      </c>
      <c r="I873" t="s">
        <v>30</v>
      </c>
      <c r="J873">
        <v>24</v>
      </c>
      <c r="K873">
        <f t="shared" si="66"/>
        <v>24</v>
      </c>
      <c r="L873" t="s">
        <v>177</v>
      </c>
      <c r="M873" t="str">
        <f t="shared" si="67"/>
        <v>75</v>
      </c>
      <c r="N873">
        <v>3</v>
      </c>
      <c r="O873" s="3">
        <f t="shared" si="68"/>
        <v>3</v>
      </c>
      <c r="P873">
        <v>1</v>
      </c>
      <c r="Q873" t="str" cm="1">
        <f t="array" ref="Q873">_xlfn.IFS(ISBLANK(P873),"Not Specified",OR(P873="N",P873=FALSE,P873="no",P873=0),"no",TRUE,"yes")</f>
        <v>yes</v>
      </c>
      <c r="R873" s="5">
        <v>0.77</v>
      </c>
      <c r="S873">
        <f t="shared" si="69"/>
        <v>77</v>
      </c>
    </row>
    <row r="874" spans="1:19">
      <c r="A874" t="s">
        <v>1830</v>
      </c>
      <c r="B874" t="s">
        <v>1831</v>
      </c>
      <c r="C874" t="s">
        <v>68</v>
      </c>
      <c r="D874" t="str" cm="1">
        <f t="array" ref="D874">_xlfn.IFS(OR(LOWER(C874)="f",LOWER(C874)="female"),"Female",TRUE,"Male")</f>
        <v>Male</v>
      </c>
      <c r="E874">
        <v>26</v>
      </c>
      <c r="F874">
        <f t="shared" si="65"/>
        <v>26</v>
      </c>
      <c r="G874" t="s">
        <v>197</v>
      </c>
      <c r="H874" t="s">
        <v>79</v>
      </c>
      <c r="I874" t="s">
        <v>24</v>
      </c>
      <c r="K874" t="str">
        <f t="shared" si="66"/>
        <v>Not Specified</v>
      </c>
      <c r="L874" t="s">
        <v>177</v>
      </c>
      <c r="M874" t="str">
        <f t="shared" si="67"/>
        <v>75</v>
      </c>
      <c r="N874">
        <v>2.1</v>
      </c>
      <c r="O874" s="3">
        <f t="shared" si="68"/>
        <v>2.1</v>
      </c>
      <c r="P874" t="s">
        <v>75</v>
      </c>
      <c r="Q874" t="str" cm="1">
        <f t="array" ref="Q874">_xlfn.IFS(ISBLANK(P874),"Not Specified",OR(P874="N",P874=FALSE,P874="no",P874=0),"no",TRUE,"yes")</f>
        <v>yes</v>
      </c>
      <c r="S874" t="str">
        <f t="shared" si="69"/>
        <v>Not Specified</v>
      </c>
    </row>
    <row r="875" spans="1:19">
      <c r="A875" t="s">
        <v>1832</v>
      </c>
      <c r="B875" t="s">
        <v>1833</v>
      </c>
      <c r="C875" t="s">
        <v>84</v>
      </c>
      <c r="D875" t="str" cm="1">
        <f t="array" ref="D875">_xlfn.IFS(OR(LOWER(C875)="f",LOWER(C875)="female"),"Female",TRUE,"Male")</f>
        <v>Female</v>
      </c>
      <c r="E875">
        <v>36</v>
      </c>
      <c r="F875">
        <f t="shared" si="65"/>
        <v>36</v>
      </c>
      <c r="G875" t="s">
        <v>119</v>
      </c>
      <c r="H875" t="s">
        <v>120</v>
      </c>
      <c r="I875" t="s">
        <v>80</v>
      </c>
      <c r="J875">
        <v>0</v>
      </c>
      <c r="K875">
        <f t="shared" si="66"/>
        <v>0</v>
      </c>
      <c r="L875">
        <v>75</v>
      </c>
      <c r="M875" t="str">
        <f t="shared" si="67"/>
        <v>75</v>
      </c>
      <c r="N875">
        <v>1.5</v>
      </c>
      <c r="O875" s="3">
        <f t="shared" si="68"/>
        <v>1.5</v>
      </c>
      <c r="Q875" t="str" cm="1">
        <f t="array" ref="Q875">_xlfn.IFS(ISBLANK(P875),"Not Specified",OR(P875="N",P875=FALSE,P875="no",P875=0),"no",TRUE,"yes")</f>
        <v>Not Specified</v>
      </c>
      <c r="R875" s="5">
        <v>0.73</v>
      </c>
      <c r="S875">
        <f t="shared" si="69"/>
        <v>73</v>
      </c>
    </row>
    <row r="876" spans="1:19">
      <c r="A876" t="s">
        <v>1834</v>
      </c>
      <c r="B876" t="s">
        <v>1835</v>
      </c>
      <c r="C876" t="s">
        <v>99</v>
      </c>
      <c r="D876" t="str" cm="1">
        <f t="array" ref="D876">_xlfn.IFS(OR(LOWER(C876)="f",LOWER(C876)="female"),"Female",TRUE,"Male")</f>
        <v>Male</v>
      </c>
      <c r="E876">
        <v>20</v>
      </c>
      <c r="F876">
        <f t="shared" si="65"/>
        <v>20</v>
      </c>
      <c r="G876" t="s">
        <v>131</v>
      </c>
      <c r="H876" t="s">
        <v>132</v>
      </c>
      <c r="I876" t="s">
        <v>42</v>
      </c>
      <c r="J876">
        <v>2</v>
      </c>
      <c r="K876">
        <f t="shared" si="66"/>
        <v>2</v>
      </c>
      <c r="L876" t="s">
        <v>116</v>
      </c>
      <c r="M876" t="str">
        <f t="shared" si="67"/>
        <v> 30</v>
      </c>
      <c r="N876">
        <v>1.7</v>
      </c>
      <c r="O876" s="3">
        <f t="shared" si="68"/>
        <v>1.7</v>
      </c>
      <c r="P876" t="b">
        <v>1</v>
      </c>
      <c r="Q876" t="str" cm="1">
        <f t="array" ref="Q876">_xlfn.IFS(ISBLANK(P876),"Not Specified",OR(P876="N",P876=FALSE,P876="no",P876=0),"no",TRUE,"yes")</f>
        <v>yes</v>
      </c>
      <c r="R876" s="5">
        <v>0.6</v>
      </c>
      <c r="S876">
        <f t="shared" si="69"/>
        <v>60</v>
      </c>
    </row>
    <row r="877" spans="1:19">
      <c r="A877" t="s">
        <v>1836</v>
      </c>
      <c r="B877" t="s">
        <v>1837</v>
      </c>
      <c r="C877" t="s">
        <v>21</v>
      </c>
      <c r="D877" t="str" cm="1">
        <f t="array" ref="D877">_xlfn.IFS(OR(LOWER(C877)="f",LOWER(C877)="female"),"Female",TRUE,"Male")</f>
        <v>Female</v>
      </c>
      <c r="E877">
        <v>40</v>
      </c>
      <c r="F877">
        <f t="shared" si="65"/>
        <v>40</v>
      </c>
      <c r="G877" t="s">
        <v>197</v>
      </c>
      <c r="H877" t="s">
        <v>79</v>
      </c>
      <c r="I877" t="s">
        <v>51</v>
      </c>
      <c r="K877" t="str">
        <f t="shared" si="66"/>
        <v>Not Specified</v>
      </c>
      <c r="M877" t="str">
        <f t="shared" si="67"/>
        <v>Not Specified</v>
      </c>
      <c r="N877">
        <v>1.2</v>
      </c>
      <c r="O877" s="3">
        <f t="shared" si="68"/>
        <v>1.2</v>
      </c>
      <c r="P877">
        <v>1</v>
      </c>
      <c r="Q877" t="str" cm="1">
        <f t="array" ref="Q877">_xlfn.IFS(ISBLANK(P877),"Not Specified",OR(P877="N",P877=FALSE,P877="no",P877=0),"no",TRUE,"yes")</f>
        <v>yes</v>
      </c>
      <c r="R877" s="5">
        <v>0.67</v>
      </c>
      <c r="S877">
        <f t="shared" si="69"/>
        <v>67</v>
      </c>
    </row>
    <row r="878" spans="1:19">
      <c r="A878" t="s">
        <v>1838</v>
      </c>
      <c r="B878" t="s">
        <v>1839</v>
      </c>
      <c r="C878" t="s">
        <v>46</v>
      </c>
      <c r="D878" t="str" cm="1">
        <f t="array" ref="D878">_xlfn.IFS(OR(LOWER(C878)="f",LOWER(C878)="female"),"Female",TRUE,"Male")</f>
        <v>Female</v>
      </c>
      <c r="E878">
        <v>30</v>
      </c>
      <c r="F878">
        <f t="shared" si="65"/>
        <v>30</v>
      </c>
      <c r="G878" t="s">
        <v>100</v>
      </c>
      <c r="H878" t="s">
        <v>101</v>
      </c>
      <c r="I878" t="s">
        <v>30</v>
      </c>
      <c r="J878">
        <v>6</v>
      </c>
      <c r="K878">
        <f t="shared" si="66"/>
        <v>6</v>
      </c>
      <c r="L878">
        <v>75</v>
      </c>
      <c r="M878" t="str">
        <f t="shared" si="67"/>
        <v>75</v>
      </c>
      <c r="N878">
        <v>0</v>
      </c>
      <c r="O878" s="3" t="str">
        <f t="shared" si="68"/>
        <v>Not Specified</v>
      </c>
      <c r="P878" t="b">
        <v>0</v>
      </c>
      <c r="Q878" t="str" cm="1">
        <f t="array" ref="Q878">_xlfn.IFS(ISBLANK(P878),"Not Specified",OR(P878="N",P878=FALSE,P878="no",P878=0),"no",TRUE,"yes")</f>
        <v>no</v>
      </c>
      <c r="R878" s="5">
        <v>0.8</v>
      </c>
      <c r="S878">
        <f t="shared" si="69"/>
        <v>80</v>
      </c>
    </row>
    <row r="879" spans="1:19">
      <c r="A879" t="s">
        <v>1840</v>
      </c>
      <c r="B879" t="s">
        <v>1841</v>
      </c>
      <c r="C879" t="s">
        <v>104</v>
      </c>
      <c r="D879" t="str" cm="1">
        <f t="array" ref="D879">_xlfn.IFS(OR(LOWER(C879)="f",LOWER(C879)="female"),"Female",TRUE,"Male")</f>
        <v>Male</v>
      </c>
      <c r="E879">
        <v>51</v>
      </c>
      <c r="F879">
        <f t="shared" si="65"/>
        <v>51</v>
      </c>
      <c r="G879" t="s">
        <v>28</v>
      </c>
      <c r="H879" t="s">
        <v>29</v>
      </c>
      <c r="I879" t="s">
        <v>37</v>
      </c>
      <c r="J879">
        <v>21</v>
      </c>
      <c r="K879">
        <f t="shared" si="66"/>
        <v>21</v>
      </c>
      <c r="L879">
        <v>20</v>
      </c>
      <c r="M879" t="str">
        <f t="shared" si="67"/>
        <v>20</v>
      </c>
      <c r="O879" s="3" t="str">
        <f t="shared" si="68"/>
        <v>Not Specified</v>
      </c>
      <c r="P879" t="s">
        <v>81</v>
      </c>
      <c r="Q879" t="str" cm="1">
        <f t="array" ref="Q879">_xlfn.IFS(ISBLANK(P879),"Not Specified",OR(P879="N",P879=FALSE,P879="no",P879=0),"no",TRUE,"yes")</f>
        <v>yes</v>
      </c>
      <c r="S879" t="str">
        <f t="shared" si="69"/>
        <v>Not Specified</v>
      </c>
    </row>
    <row r="880" spans="1:19">
      <c r="A880" t="s">
        <v>1842</v>
      </c>
      <c r="B880" t="s">
        <v>1843</v>
      </c>
      <c r="C880" t="s">
        <v>104</v>
      </c>
      <c r="D880" t="str" cm="1">
        <f t="array" ref="D880">_xlfn.IFS(OR(LOWER(C880)="f",LOWER(C880)="female"),"Female",TRUE,"Male")</f>
        <v>Male</v>
      </c>
      <c r="E880">
        <v>46</v>
      </c>
      <c r="F880">
        <f t="shared" si="65"/>
        <v>46</v>
      </c>
      <c r="G880" t="s">
        <v>65</v>
      </c>
      <c r="H880" t="s">
        <v>29</v>
      </c>
      <c r="I880" t="s">
        <v>80</v>
      </c>
      <c r="J880">
        <v>24</v>
      </c>
      <c r="K880">
        <f t="shared" si="66"/>
        <v>24</v>
      </c>
      <c r="L880">
        <v>40</v>
      </c>
      <c r="M880" t="str">
        <f t="shared" si="67"/>
        <v>40</v>
      </c>
      <c r="N880">
        <v>3.3</v>
      </c>
      <c r="O880" s="3">
        <f t="shared" si="68"/>
        <v>3.3</v>
      </c>
      <c r="P880">
        <v>1</v>
      </c>
      <c r="Q880" t="str" cm="1">
        <f t="array" ref="Q880">_xlfn.IFS(ISBLANK(P880),"Not Specified",OR(P880="N",P880=FALSE,P880="no",P880=0),"no",TRUE,"yes")</f>
        <v>yes</v>
      </c>
      <c r="R880" s="5">
        <v>0.87</v>
      </c>
      <c r="S880">
        <f t="shared" si="69"/>
        <v>87</v>
      </c>
    </row>
    <row r="881" spans="1:19">
      <c r="A881" t="s">
        <v>1844</v>
      </c>
      <c r="B881" t="s">
        <v>1845</v>
      </c>
      <c r="C881" t="s">
        <v>27</v>
      </c>
      <c r="D881" t="str" cm="1">
        <f t="array" ref="D881">_xlfn.IFS(OR(LOWER(C881)="f",LOWER(C881)="female"),"Female",TRUE,"Male")</f>
        <v>Female</v>
      </c>
      <c r="E881">
        <v>25</v>
      </c>
      <c r="F881">
        <f t="shared" si="65"/>
        <v>25</v>
      </c>
      <c r="G881" t="s">
        <v>119</v>
      </c>
      <c r="H881" t="s">
        <v>120</v>
      </c>
      <c r="I881" t="s">
        <v>51</v>
      </c>
      <c r="J881">
        <v>6</v>
      </c>
      <c r="K881">
        <f t="shared" si="66"/>
        <v>6</v>
      </c>
      <c r="L881">
        <v>20</v>
      </c>
      <c r="M881" t="str">
        <f t="shared" si="67"/>
        <v>20</v>
      </c>
      <c r="N881">
        <v>2.1</v>
      </c>
      <c r="O881" s="3">
        <f t="shared" si="68"/>
        <v>2.1</v>
      </c>
      <c r="P881" t="s">
        <v>166</v>
      </c>
      <c r="Q881" t="str" cm="1">
        <f t="array" ref="Q881">_xlfn.IFS(ISBLANK(P881),"Not Specified",OR(P881="N",P881=FALSE,P881="no",P881=0),"no",TRUE,"yes")</f>
        <v>no</v>
      </c>
      <c r="S881" t="str">
        <f t="shared" si="69"/>
        <v>Not Specified</v>
      </c>
    </row>
    <row r="882" spans="1:19">
      <c r="A882" t="s">
        <v>1846</v>
      </c>
      <c r="B882" t="s">
        <v>1847</v>
      </c>
      <c r="C882" t="s">
        <v>34</v>
      </c>
      <c r="D882" t="str" cm="1">
        <f t="array" ref="D882">_xlfn.IFS(OR(LOWER(C882)="f",LOWER(C882)="female"),"Female",TRUE,"Male")</f>
        <v>Male</v>
      </c>
      <c r="E882">
        <v>53</v>
      </c>
      <c r="F882">
        <f t="shared" si="65"/>
        <v>53</v>
      </c>
      <c r="G882" t="s">
        <v>49</v>
      </c>
      <c r="H882" t="s">
        <v>50</v>
      </c>
      <c r="I882" t="s">
        <v>42</v>
      </c>
      <c r="J882">
        <v>32</v>
      </c>
      <c r="K882">
        <f t="shared" si="66"/>
        <v>32</v>
      </c>
      <c r="L882">
        <v>50</v>
      </c>
      <c r="M882" t="str">
        <f t="shared" si="67"/>
        <v>50</v>
      </c>
      <c r="O882" s="3" t="str">
        <f t="shared" si="68"/>
        <v>Not Specified</v>
      </c>
      <c r="P882">
        <v>1</v>
      </c>
      <c r="Q882" t="str" cm="1">
        <f t="array" ref="Q882">_xlfn.IFS(ISBLANK(P882),"Not Specified",OR(P882="N",P882=FALSE,P882="no",P882=0),"no",TRUE,"yes")</f>
        <v>yes</v>
      </c>
      <c r="S882" t="str">
        <f t="shared" si="69"/>
        <v>Not Specified</v>
      </c>
    </row>
    <row r="883" spans="1:19">
      <c r="A883" t="s">
        <v>1848</v>
      </c>
      <c r="B883" t="s">
        <v>1849</v>
      </c>
      <c r="C883" t="s">
        <v>27</v>
      </c>
      <c r="D883" t="str" cm="1">
        <f t="array" ref="D883">_xlfn.IFS(OR(LOWER(C883)="f",LOWER(C883)="female"),"Female",TRUE,"Male")</f>
        <v>Female</v>
      </c>
      <c r="E883">
        <v>50</v>
      </c>
      <c r="F883">
        <f t="shared" si="65"/>
        <v>50</v>
      </c>
      <c r="G883" t="s">
        <v>146</v>
      </c>
      <c r="H883" t="s">
        <v>147</v>
      </c>
      <c r="I883" t="s">
        <v>30</v>
      </c>
      <c r="J883">
        <v>31</v>
      </c>
      <c r="K883">
        <f t="shared" si="66"/>
        <v>31</v>
      </c>
      <c r="L883" t="s">
        <v>31</v>
      </c>
      <c r="M883" t="str">
        <f t="shared" si="67"/>
        <v> 100</v>
      </c>
      <c r="N883">
        <v>2.9</v>
      </c>
      <c r="O883" s="3">
        <f t="shared" si="68"/>
        <v>2.9</v>
      </c>
      <c r="P883" t="s">
        <v>81</v>
      </c>
      <c r="Q883" t="str" cm="1">
        <f t="array" ref="Q883">_xlfn.IFS(ISBLANK(P883),"Not Specified",OR(P883="N",P883=FALSE,P883="no",P883=0),"no",TRUE,"yes")</f>
        <v>yes</v>
      </c>
      <c r="R883" s="5">
        <v>0.89</v>
      </c>
      <c r="S883">
        <f t="shared" si="69"/>
        <v>89</v>
      </c>
    </row>
    <row r="884" spans="1:19">
      <c r="A884" t="s">
        <v>1850</v>
      </c>
      <c r="B884" t="s">
        <v>1851</v>
      </c>
      <c r="C884" t="s">
        <v>34</v>
      </c>
      <c r="D884" t="str" cm="1">
        <f t="array" ref="D884">_xlfn.IFS(OR(LOWER(C884)="f",LOWER(C884)="female"),"Female",TRUE,"Male")</f>
        <v>Male</v>
      </c>
      <c r="E884">
        <v>45</v>
      </c>
      <c r="F884">
        <f t="shared" si="65"/>
        <v>45</v>
      </c>
      <c r="G884" t="s">
        <v>119</v>
      </c>
      <c r="H884" t="s">
        <v>120</v>
      </c>
      <c r="I884" t="s">
        <v>51</v>
      </c>
      <c r="K884" t="str">
        <f t="shared" si="66"/>
        <v>Not Specified</v>
      </c>
      <c r="L884" t="s">
        <v>321</v>
      </c>
      <c r="M884" t="str">
        <f t="shared" si="67"/>
        <v> 20</v>
      </c>
      <c r="N884">
        <v>3.3</v>
      </c>
      <c r="O884" s="3">
        <f t="shared" si="68"/>
        <v>3.3</v>
      </c>
      <c r="P884" t="b">
        <v>1</v>
      </c>
      <c r="Q884" t="str" cm="1">
        <f t="array" ref="Q884">_xlfn.IFS(ISBLANK(P884),"Not Specified",OR(P884="N",P884=FALSE,P884="no",P884=0),"no",TRUE,"yes")</f>
        <v>yes</v>
      </c>
      <c r="R884" s="5">
        <v>0.93</v>
      </c>
      <c r="S884">
        <f t="shared" si="69"/>
        <v>93</v>
      </c>
    </row>
    <row r="885" spans="1:19">
      <c r="A885" t="s">
        <v>1852</v>
      </c>
      <c r="B885" t="s">
        <v>1853</v>
      </c>
      <c r="C885" t="s">
        <v>41</v>
      </c>
      <c r="D885" t="str" cm="1">
        <f t="array" ref="D885">_xlfn.IFS(OR(LOWER(C885)="f",LOWER(C885)="female"),"Female",TRUE,"Male")</f>
        <v>Female</v>
      </c>
      <c r="E885">
        <v>48</v>
      </c>
      <c r="F885">
        <f t="shared" si="65"/>
        <v>48</v>
      </c>
      <c r="G885" t="s">
        <v>135</v>
      </c>
      <c r="H885" t="s">
        <v>29</v>
      </c>
      <c r="I885" t="s">
        <v>85</v>
      </c>
      <c r="J885">
        <v>24</v>
      </c>
      <c r="K885">
        <f t="shared" si="66"/>
        <v>24</v>
      </c>
      <c r="L885">
        <v>100</v>
      </c>
      <c r="M885" t="str">
        <f t="shared" si="67"/>
        <v>100</v>
      </c>
      <c r="N885">
        <v>4.8</v>
      </c>
      <c r="O885" s="3">
        <f t="shared" si="68"/>
        <v>4.8</v>
      </c>
      <c r="P885">
        <v>1</v>
      </c>
      <c r="Q885" t="str" cm="1">
        <f t="array" ref="Q885">_xlfn.IFS(ISBLANK(P885),"Not Specified",OR(P885="N",P885=FALSE,P885="no",P885=0),"no",TRUE,"yes")</f>
        <v>yes</v>
      </c>
      <c r="R885" s="5">
        <v>0.84</v>
      </c>
      <c r="S885">
        <f t="shared" si="69"/>
        <v>84</v>
      </c>
    </row>
    <row r="886" spans="1:19">
      <c r="A886" t="s">
        <v>1854</v>
      </c>
      <c r="B886" t="s">
        <v>1855</v>
      </c>
      <c r="C886" t="s">
        <v>68</v>
      </c>
      <c r="D886" t="str" cm="1">
        <f t="array" ref="D886">_xlfn.IFS(OR(LOWER(C886)="f",LOWER(C886)="female"),"Female",TRUE,"Male")</f>
        <v>Male</v>
      </c>
      <c r="E886">
        <v>30</v>
      </c>
      <c r="F886">
        <f t="shared" si="65"/>
        <v>30</v>
      </c>
      <c r="G886" t="s">
        <v>56</v>
      </c>
      <c r="H886" t="s">
        <v>57</v>
      </c>
      <c r="I886" t="s">
        <v>96</v>
      </c>
      <c r="K886" t="str">
        <f t="shared" si="66"/>
        <v>Not Specified</v>
      </c>
      <c r="L886" t="s">
        <v>236</v>
      </c>
      <c r="M886" t="str">
        <f t="shared" si="67"/>
        <v>100</v>
      </c>
      <c r="N886">
        <v>4.5</v>
      </c>
      <c r="O886" s="3">
        <f t="shared" si="68"/>
        <v>4.5</v>
      </c>
      <c r="Q886" t="str" cm="1">
        <f t="array" ref="Q886">_xlfn.IFS(ISBLANK(P886),"Not Specified",OR(P886="N",P886=FALSE,P886="no",P886=0),"no",TRUE,"yes")</f>
        <v>Not Specified</v>
      </c>
      <c r="R886" s="5">
        <v>0.78</v>
      </c>
      <c r="S886">
        <f t="shared" si="69"/>
        <v>78</v>
      </c>
    </row>
    <row r="887" spans="1:19">
      <c r="A887" t="s">
        <v>1856</v>
      </c>
      <c r="B887" t="s">
        <v>574</v>
      </c>
      <c r="C887" t="s">
        <v>41</v>
      </c>
      <c r="D887" t="str" cm="1">
        <f t="array" ref="D887">_xlfn.IFS(OR(LOWER(C887)="f",LOWER(C887)="female"),"Female",TRUE,"Male")</f>
        <v>Female</v>
      </c>
      <c r="E887">
        <v>33</v>
      </c>
      <c r="F887">
        <f t="shared" si="65"/>
        <v>33</v>
      </c>
      <c r="G887" t="s">
        <v>49</v>
      </c>
      <c r="H887" t="s">
        <v>50</v>
      </c>
      <c r="I887" t="s">
        <v>80</v>
      </c>
      <c r="J887">
        <v>6</v>
      </c>
      <c r="K887">
        <f t="shared" si="66"/>
        <v>6</v>
      </c>
      <c r="L887" t="s">
        <v>71</v>
      </c>
      <c r="M887" t="str">
        <f t="shared" si="67"/>
        <v>50</v>
      </c>
      <c r="N887">
        <v>3.1</v>
      </c>
      <c r="O887" s="3">
        <f t="shared" si="68"/>
        <v>3.1</v>
      </c>
      <c r="P887" t="s">
        <v>166</v>
      </c>
      <c r="Q887" t="str" cm="1">
        <f t="array" ref="Q887">_xlfn.IFS(ISBLANK(P887),"Not Specified",OR(P887="N",P887=FALSE,P887="no",P887=0),"no",TRUE,"yes")</f>
        <v>no</v>
      </c>
      <c r="R887" s="5">
        <v>0.9</v>
      </c>
      <c r="S887">
        <f t="shared" si="69"/>
        <v>90</v>
      </c>
    </row>
    <row r="888" spans="1:19">
      <c r="A888" t="s">
        <v>1857</v>
      </c>
      <c r="B888" t="s">
        <v>1858</v>
      </c>
      <c r="C888" t="s">
        <v>41</v>
      </c>
      <c r="D888" t="str" cm="1">
        <f t="array" ref="D888">_xlfn.IFS(OR(LOWER(C888)="f",LOWER(C888)="female"),"Female",TRUE,"Male")</f>
        <v>Female</v>
      </c>
      <c r="E888">
        <v>50</v>
      </c>
      <c r="F888">
        <f t="shared" si="65"/>
        <v>50</v>
      </c>
      <c r="G888" t="s">
        <v>74</v>
      </c>
      <c r="H888" t="s">
        <v>29</v>
      </c>
      <c r="I888" t="s">
        <v>96</v>
      </c>
      <c r="J888">
        <v>11</v>
      </c>
      <c r="K888">
        <f t="shared" si="66"/>
        <v>11</v>
      </c>
      <c r="M888" t="str">
        <f t="shared" si="67"/>
        <v>Not Specified</v>
      </c>
      <c r="N888">
        <v>4.9</v>
      </c>
      <c r="O888" s="3">
        <f t="shared" si="68"/>
        <v>4.9</v>
      </c>
      <c r="P888">
        <v>1</v>
      </c>
      <c r="Q888" t="str" cm="1">
        <f t="array" ref="Q888">_xlfn.IFS(ISBLANK(P888),"Not Specified",OR(P888="N",P888=FALSE,P888="no",P888=0),"no",TRUE,"yes")</f>
        <v>yes</v>
      </c>
      <c r="R888" s="5">
        <v>0.88</v>
      </c>
      <c r="S888">
        <f t="shared" si="69"/>
        <v>88</v>
      </c>
    </row>
    <row r="889" spans="1:19">
      <c r="A889" t="s">
        <v>1859</v>
      </c>
      <c r="B889" t="s">
        <v>1860</v>
      </c>
      <c r="C889" t="s">
        <v>84</v>
      </c>
      <c r="D889" t="str" cm="1">
        <f t="array" ref="D889">_xlfn.IFS(OR(LOWER(C889)="f",LOWER(C889)="female"),"Female",TRUE,"Male")</f>
        <v>Female</v>
      </c>
      <c r="E889">
        <v>24</v>
      </c>
      <c r="F889">
        <f t="shared" si="65"/>
        <v>24</v>
      </c>
      <c r="G889" t="s">
        <v>56</v>
      </c>
      <c r="H889" t="s">
        <v>57</v>
      </c>
      <c r="I889" t="s">
        <v>58</v>
      </c>
      <c r="K889" t="str">
        <f t="shared" si="66"/>
        <v>Not Specified</v>
      </c>
      <c r="L889" t="s">
        <v>128</v>
      </c>
      <c r="M889" t="str">
        <f t="shared" si="67"/>
        <v>20</v>
      </c>
      <c r="N889">
        <v>0</v>
      </c>
      <c r="O889" s="3" t="str">
        <f t="shared" si="68"/>
        <v>Not Specified</v>
      </c>
      <c r="P889">
        <v>0</v>
      </c>
      <c r="Q889" t="str" cm="1">
        <f t="array" ref="Q889">_xlfn.IFS(ISBLANK(P889),"Not Specified",OR(P889="N",P889=FALSE,P889="no",P889=0),"no",TRUE,"yes")</f>
        <v>no</v>
      </c>
      <c r="R889" s="5">
        <v>0.76</v>
      </c>
      <c r="S889">
        <f t="shared" si="69"/>
        <v>76</v>
      </c>
    </row>
    <row r="890" spans="1:19">
      <c r="A890" t="s">
        <v>1861</v>
      </c>
      <c r="B890" t="s">
        <v>1862</v>
      </c>
      <c r="C890" t="s">
        <v>34</v>
      </c>
      <c r="D890" t="str" cm="1">
        <f t="array" ref="D890">_xlfn.IFS(OR(LOWER(C890)="f",LOWER(C890)="female"),"Female",TRUE,"Male")</f>
        <v>Male</v>
      </c>
      <c r="E890">
        <v>38</v>
      </c>
      <c r="F890">
        <f t="shared" si="65"/>
        <v>38</v>
      </c>
      <c r="G890" t="s">
        <v>22</v>
      </c>
      <c r="H890" t="s">
        <v>23</v>
      </c>
      <c r="I890" t="s">
        <v>42</v>
      </c>
      <c r="J890">
        <v>14</v>
      </c>
      <c r="K890">
        <f t="shared" si="66"/>
        <v>14</v>
      </c>
      <c r="L890">
        <v>75</v>
      </c>
      <c r="M890" t="str">
        <f t="shared" si="67"/>
        <v>75</v>
      </c>
      <c r="N890">
        <v>1.5</v>
      </c>
      <c r="O890" s="3">
        <f t="shared" si="68"/>
        <v>1.5</v>
      </c>
      <c r="P890" t="s">
        <v>38</v>
      </c>
      <c r="Q890" t="str" cm="1">
        <f t="array" ref="Q890">_xlfn.IFS(ISBLANK(P890),"Not Specified",OR(P890="N",P890=FALSE,P890="no",P890=0),"no",TRUE,"yes")</f>
        <v>no</v>
      </c>
      <c r="R890" s="5">
        <v>0.62</v>
      </c>
      <c r="S890">
        <f t="shared" si="69"/>
        <v>62</v>
      </c>
    </row>
    <row r="891" spans="1:19">
      <c r="A891" t="s">
        <v>1863</v>
      </c>
      <c r="B891" t="s">
        <v>1864</v>
      </c>
      <c r="C891" t="s">
        <v>68</v>
      </c>
      <c r="D891" t="str" cm="1">
        <f t="array" ref="D891">_xlfn.IFS(OR(LOWER(C891)="f",LOWER(C891)="female"),"Female",TRUE,"Male")</f>
        <v>Male</v>
      </c>
      <c r="E891">
        <v>56</v>
      </c>
      <c r="F891">
        <f t="shared" si="65"/>
        <v>56</v>
      </c>
      <c r="G891" t="s">
        <v>92</v>
      </c>
      <c r="H891" t="s">
        <v>93</v>
      </c>
      <c r="I891" t="s">
        <v>96</v>
      </c>
      <c r="J891">
        <v>2</v>
      </c>
      <c r="K891">
        <f t="shared" si="66"/>
        <v>2</v>
      </c>
      <c r="L891" t="s">
        <v>177</v>
      </c>
      <c r="M891" t="str">
        <f t="shared" si="67"/>
        <v>75</v>
      </c>
      <c r="N891">
        <v>2.4</v>
      </c>
      <c r="O891" s="3">
        <f t="shared" si="68"/>
        <v>2.4</v>
      </c>
      <c r="P891" t="s">
        <v>38</v>
      </c>
      <c r="Q891" t="str" cm="1">
        <f t="array" ref="Q891">_xlfn.IFS(ISBLANK(P891),"Not Specified",OR(P891="N",P891=FALSE,P891="no",P891=0),"no",TRUE,"yes")</f>
        <v>no</v>
      </c>
      <c r="S891" t="str">
        <f t="shared" si="69"/>
        <v>Not Specified</v>
      </c>
    </row>
    <row r="892" spans="1:19">
      <c r="A892" t="s">
        <v>1865</v>
      </c>
      <c r="B892" t="s">
        <v>1866</v>
      </c>
      <c r="C892" t="s">
        <v>21</v>
      </c>
      <c r="D892" t="str" cm="1">
        <f t="array" ref="D892">_xlfn.IFS(OR(LOWER(C892)="f",LOWER(C892)="female"),"Female",TRUE,"Male")</f>
        <v>Female</v>
      </c>
      <c r="E892">
        <v>41</v>
      </c>
      <c r="F892">
        <f t="shared" si="65"/>
        <v>41</v>
      </c>
      <c r="G892" t="s">
        <v>131</v>
      </c>
      <c r="H892" t="s">
        <v>132</v>
      </c>
      <c r="I892" t="s">
        <v>96</v>
      </c>
      <c r="J892">
        <v>2</v>
      </c>
      <c r="K892">
        <f t="shared" si="66"/>
        <v>2</v>
      </c>
      <c r="L892" t="s">
        <v>31</v>
      </c>
      <c r="M892" t="str">
        <f t="shared" si="67"/>
        <v> 100</v>
      </c>
      <c r="N892">
        <v>4.5</v>
      </c>
      <c r="O892" s="3">
        <f t="shared" si="68"/>
        <v>4.5</v>
      </c>
      <c r="P892" t="s">
        <v>38</v>
      </c>
      <c r="Q892" t="str" cm="1">
        <f t="array" ref="Q892">_xlfn.IFS(ISBLANK(P892),"Not Specified",OR(P892="N",P892=FALSE,P892="no",P892=0),"no",TRUE,"yes")</f>
        <v>no</v>
      </c>
      <c r="R892">
        <v>75</v>
      </c>
      <c r="S892">
        <f t="shared" si="69"/>
        <v>75</v>
      </c>
    </row>
    <row r="893" spans="1:19">
      <c r="A893" t="s">
        <v>1867</v>
      </c>
      <c r="B893" t="s">
        <v>1868</v>
      </c>
      <c r="C893" t="s">
        <v>104</v>
      </c>
      <c r="D893" t="str" cm="1">
        <f t="array" ref="D893">_xlfn.IFS(OR(LOWER(C893)="f",LOWER(C893)="female"),"Female",TRUE,"Male")</f>
        <v>Male</v>
      </c>
      <c r="F893" t="str">
        <f t="shared" si="65"/>
        <v>Not Specified</v>
      </c>
      <c r="G893" t="s">
        <v>22</v>
      </c>
      <c r="H893" t="s">
        <v>23</v>
      </c>
      <c r="I893" t="s">
        <v>80</v>
      </c>
      <c r="J893">
        <v>11</v>
      </c>
      <c r="K893">
        <f t="shared" si="66"/>
        <v>11</v>
      </c>
      <c r="L893" t="s">
        <v>31</v>
      </c>
      <c r="M893" t="str">
        <f t="shared" si="67"/>
        <v> 100</v>
      </c>
      <c r="N893">
        <v>2.5</v>
      </c>
      <c r="O893" s="3">
        <f t="shared" si="68"/>
        <v>2.5</v>
      </c>
      <c r="P893" t="s">
        <v>75</v>
      </c>
      <c r="Q893" t="str" cm="1">
        <f t="array" ref="Q893">_xlfn.IFS(ISBLANK(P893),"Not Specified",OR(P893="N",P893=FALSE,P893="no",P893=0),"no",TRUE,"yes")</f>
        <v>yes</v>
      </c>
      <c r="R893">
        <v>80</v>
      </c>
      <c r="S893">
        <f t="shared" si="69"/>
        <v>80</v>
      </c>
    </row>
    <row r="894" spans="1:19">
      <c r="A894" t="s">
        <v>1869</v>
      </c>
      <c r="B894" t="s">
        <v>1870</v>
      </c>
      <c r="C894" t="s">
        <v>21</v>
      </c>
      <c r="D894" t="str" cm="1">
        <f t="array" ref="D894">_xlfn.IFS(OR(LOWER(C894)="f",LOWER(C894)="female"),"Female",TRUE,"Male")</f>
        <v>Female</v>
      </c>
      <c r="E894">
        <v>42</v>
      </c>
      <c r="F894">
        <f t="shared" si="65"/>
        <v>42</v>
      </c>
      <c r="G894" t="s">
        <v>35</v>
      </c>
      <c r="H894" t="s">
        <v>36</v>
      </c>
      <c r="I894" t="s">
        <v>37</v>
      </c>
      <c r="J894">
        <v>13</v>
      </c>
      <c r="K894">
        <f t="shared" si="66"/>
        <v>13</v>
      </c>
      <c r="L894">
        <v>30</v>
      </c>
      <c r="M894" t="str">
        <f t="shared" si="67"/>
        <v>30</v>
      </c>
      <c r="N894">
        <v>3.3</v>
      </c>
      <c r="O894" s="3">
        <f t="shared" si="68"/>
        <v>3.3</v>
      </c>
      <c r="Q894" t="str" cm="1">
        <f t="array" ref="Q894">_xlfn.IFS(ISBLANK(P894),"Not Specified",OR(P894="N",P894=FALSE,P894="no",P894=0),"no",TRUE,"yes")</f>
        <v>Not Specified</v>
      </c>
      <c r="R894" s="5">
        <v>0.63</v>
      </c>
      <c r="S894">
        <f t="shared" si="69"/>
        <v>63</v>
      </c>
    </row>
    <row r="895" spans="1:19">
      <c r="A895" t="s">
        <v>1871</v>
      </c>
      <c r="B895" t="s">
        <v>1872</v>
      </c>
      <c r="C895" t="s">
        <v>104</v>
      </c>
      <c r="D895" t="str" cm="1">
        <f t="array" ref="D895">_xlfn.IFS(OR(LOWER(C895)="f",LOWER(C895)="female"),"Female",TRUE,"Male")</f>
        <v>Male</v>
      </c>
      <c r="E895">
        <v>26</v>
      </c>
      <c r="F895">
        <f t="shared" si="65"/>
        <v>26</v>
      </c>
      <c r="G895" t="s">
        <v>100</v>
      </c>
      <c r="H895" t="s">
        <v>101</v>
      </c>
      <c r="I895" t="s">
        <v>24</v>
      </c>
      <c r="J895">
        <v>7</v>
      </c>
      <c r="K895">
        <f t="shared" si="66"/>
        <v>7</v>
      </c>
      <c r="L895">
        <v>75</v>
      </c>
      <c r="M895" t="str">
        <f t="shared" si="67"/>
        <v>75</v>
      </c>
      <c r="N895">
        <v>3</v>
      </c>
      <c r="O895" s="3">
        <f t="shared" si="68"/>
        <v>3</v>
      </c>
      <c r="Q895" t="str" cm="1">
        <f t="array" ref="Q895">_xlfn.IFS(ISBLANK(P895),"Not Specified",OR(P895="N",P895=FALSE,P895="no",P895=0),"no",TRUE,"yes")</f>
        <v>Not Specified</v>
      </c>
      <c r="R895" s="5">
        <v>0.84</v>
      </c>
      <c r="S895">
        <f t="shared" si="69"/>
        <v>84</v>
      </c>
    </row>
    <row r="896" spans="1:19">
      <c r="A896" t="s">
        <v>1873</v>
      </c>
      <c r="B896" t="s">
        <v>1874</v>
      </c>
      <c r="C896" t="s">
        <v>21</v>
      </c>
      <c r="D896" t="str" cm="1">
        <f t="array" ref="D896">_xlfn.IFS(OR(LOWER(C896)="f",LOWER(C896)="female"),"Female",TRUE,"Male")</f>
        <v>Female</v>
      </c>
      <c r="E896">
        <v>44</v>
      </c>
      <c r="F896">
        <f t="shared" si="65"/>
        <v>44</v>
      </c>
      <c r="G896" t="s">
        <v>135</v>
      </c>
      <c r="H896" t="s">
        <v>29</v>
      </c>
      <c r="I896" t="s">
        <v>85</v>
      </c>
      <c r="J896">
        <v>25</v>
      </c>
      <c r="K896">
        <f t="shared" si="66"/>
        <v>25</v>
      </c>
      <c r="L896">
        <v>75</v>
      </c>
      <c r="M896" t="str">
        <f t="shared" si="67"/>
        <v>75</v>
      </c>
      <c r="N896">
        <v>2.7</v>
      </c>
      <c r="O896" s="3">
        <f t="shared" si="68"/>
        <v>2.7</v>
      </c>
      <c r="P896">
        <v>1</v>
      </c>
      <c r="Q896" t="str" cm="1">
        <f t="array" ref="Q896">_xlfn.IFS(ISBLANK(P896),"Not Specified",OR(P896="N",P896=FALSE,P896="no",P896=0),"no",TRUE,"yes")</f>
        <v>yes</v>
      </c>
      <c r="R896">
        <v>78</v>
      </c>
      <c r="S896">
        <f t="shared" si="69"/>
        <v>78</v>
      </c>
    </row>
    <row r="897" spans="1:19">
      <c r="A897" t="s">
        <v>1875</v>
      </c>
      <c r="B897" t="s">
        <v>1876</v>
      </c>
      <c r="C897" t="s">
        <v>68</v>
      </c>
      <c r="D897" t="str" cm="1">
        <f t="array" ref="D897">_xlfn.IFS(OR(LOWER(C897)="f",LOWER(C897)="female"),"Female",TRUE,"Male")</f>
        <v>Male</v>
      </c>
      <c r="E897">
        <v>46</v>
      </c>
      <c r="F897">
        <f t="shared" si="65"/>
        <v>46</v>
      </c>
      <c r="G897" t="s">
        <v>135</v>
      </c>
      <c r="H897" t="s">
        <v>29</v>
      </c>
      <c r="I897" t="s">
        <v>37</v>
      </c>
      <c r="J897">
        <v>20</v>
      </c>
      <c r="K897">
        <f t="shared" si="66"/>
        <v>20</v>
      </c>
      <c r="L897" t="s">
        <v>128</v>
      </c>
      <c r="M897" t="str">
        <f t="shared" si="67"/>
        <v>20</v>
      </c>
      <c r="N897">
        <v>1.2</v>
      </c>
      <c r="O897" s="3">
        <f t="shared" si="68"/>
        <v>1.2</v>
      </c>
      <c r="P897" t="b">
        <v>0</v>
      </c>
      <c r="Q897" t="str" cm="1">
        <f t="array" ref="Q897">_xlfn.IFS(ISBLANK(P897),"Not Specified",OR(P897="N",P897=FALSE,P897="no",P897=0),"no",TRUE,"yes")</f>
        <v>no</v>
      </c>
      <c r="R897" s="5">
        <v>0.74</v>
      </c>
      <c r="S897">
        <f t="shared" si="69"/>
        <v>74</v>
      </c>
    </row>
    <row r="898" spans="1:19">
      <c r="A898" t="s">
        <v>1877</v>
      </c>
      <c r="B898" t="s">
        <v>1878</v>
      </c>
      <c r="C898" t="s">
        <v>46</v>
      </c>
      <c r="D898" t="str" cm="1">
        <f t="array" ref="D898">_xlfn.IFS(OR(LOWER(C898)="f",LOWER(C898)="female"),"Female",TRUE,"Male")</f>
        <v>Female</v>
      </c>
      <c r="E898">
        <v>36</v>
      </c>
      <c r="F898">
        <f t="shared" si="65"/>
        <v>36</v>
      </c>
      <c r="G898" t="s">
        <v>65</v>
      </c>
      <c r="H898" t="s">
        <v>29</v>
      </c>
      <c r="I898" t="s">
        <v>80</v>
      </c>
      <c r="J898">
        <v>8</v>
      </c>
      <c r="K898">
        <f t="shared" si="66"/>
        <v>8</v>
      </c>
      <c r="L898">
        <v>50</v>
      </c>
      <c r="M898" t="str">
        <f t="shared" si="67"/>
        <v>50</v>
      </c>
      <c r="N898">
        <v>4.3</v>
      </c>
      <c r="O898" s="3">
        <f t="shared" si="68"/>
        <v>4.3</v>
      </c>
      <c r="P898">
        <v>0</v>
      </c>
      <c r="Q898" t="str" cm="1">
        <f t="array" ref="Q898">_xlfn.IFS(ISBLANK(P898),"Not Specified",OR(P898="N",P898=FALSE,P898="no",P898=0),"no",TRUE,"yes")</f>
        <v>no</v>
      </c>
      <c r="R898" s="5">
        <v>0.9</v>
      </c>
      <c r="S898">
        <f t="shared" si="69"/>
        <v>90</v>
      </c>
    </row>
    <row r="899" spans="1:19">
      <c r="A899" t="s">
        <v>1879</v>
      </c>
      <c r="B899" t="s">
        <v>1880</v>
      </c>
      <c r="C899" t="s">
        <v>104</v>
      </c>
      <c r="D899" t="str" cm="1">
        <f t="array" ref="D899">_xlfn.IFS(OR(LOWER(C899)="f",LOWER(C899)="female"),"Female",TRUE,"Male")</f>
        <v>Male</v>
      </c>
      <c r="E899">
        <v>26</v>
      </c>
      <c r="F899">
        <f t="shared" ref="F899:F962" si="70">IF(ISNUMBER(E899),E899,"Not Specified")</f>
        <v>26</v>
      </c>
      <c r="G899" t="s">
        <v>49</v>
      </c>
      <c r="H899" t="s">
        <v>50</v>
      </c>
      <c r="I899" t="s">
        <v>51</v>
      </c>
      <c r="J899">
        <v>6</v>
      </c>
      <c r="K899">
        <f t="shared" ref="K899:K962" si="71">IF(ISNUMBER(J899),J899,"Not Specified")</f>
        <v>6</v>
      </c>
      <c r="L899" t="s">
        <v>43</v>
      </c>
      <c r="M899" t="str">
        <f t="shared" ref="M899:M962" si="72">IF(SUBSTITUTE(SUBSTITUTE(L899,"USD",""),"$","")="","Not Specified",SUBSTITUTE(SUBSTITUTE(L899,"USD",""),"$",""))</f>
        <v>40</v>
      </c>
      <c r="N899">
        <v>1.3</v>
      </c>
      <c r="O899" s="3">
        <f t="shared" ref="O899:O962" si="73">IF(OR(N899="",N899=0),"Not Specified",N899)</f>
        <v>1.3</v>
      </c>
      <c r="P899">
        <v>0</v>
      </c>
      <c r="Q899" t="str" cm="1">
        <f t="array" ref="Q899">_xlfn.IFS(ISBLANK(P899),"Not Specified",OR(P899="N",P899=FALSE,P899="no",P899=0),"no",TRUE,"yes")</f>
        <v>no</v>
      </c>
      <c r="S899" t="str">
        <f t="shared" ref="S899:S962" si="74">IF(ISBLANK(R899),"Not Specified",IF(R899&lt;=1,R899*100,R899))</f>
        <v>Not Specified</v>
      </c>
    </row>
    <row r="900" spans="1:19">
      <c r="A900" t="s">
        <v>1881</v>
      </c>
      <c r="B900" t="s">
        <v>1882</v>
      </c>
      <c r="C900" t="s">
        <v>34</v>
      </c>
      <c r="D900" t="str" cm="1">
        <f t="array" ref="D900">_xlfn.IFS(OR(LOWER(C900)="f",LOWER(C900)="female"),"Female",TRUE,"Male")</f>
        <v>Male</v>
      </c>
      <c r="E900">
        <v>21</v>
      </c>
      <c r="F900">
        <f t="shared" si="70"/>
        <v>21</v>
      </c>
      <c r="G900" t="s">
        <v>35</v>
      </c>
      <c r="H900" t="s">
        <v>36</v>
      </c>
      <c r="I900" t="s">
        <v>80</v>
      </c>
      <c r="J900">
        <v>3</v>
      </c>
      <c r="K900">
        <f t="shared" si="71"/>
        <v>3</v>
      </c>
      <c r="L900">
        <v>50</v>
      </c>
      <c r="M900" t="str">
        <f t="shared" si="72"/>
        <v>50</v>
      </c>
      <c r="N900">
        <v>4.6</v>
      </c>
      <c r="O900" s="3">
        <f t="shared" si="73"/>
        <v>4.6</v>
      </c>
      <c r="P900" t="s">
        <v>81</v>
      </c>
      <c r="Q900" t="str" cm="1">
        <f t="array" ref="Q900">_xlfn.IFS(ISBLANK(P900),"Not Specified",OR(P900="N",P900=FALSE,P900="no",P900=0),"no",TRUE,"yes")</f>
        <v>yes</v>
      </c>
      <c r="S900" t="str">
        <f t="shared" si="74"/>
        <v>Not Specified</v>
      </c>
    </row>
    <row r="901" spans="1:19">
      <c r="A901" t="s">
        <v>1883</v>
      </c>
      <c r="B901" t="s">
        <v>1884</v>
      </c>
      <c r="C901" t="s">
        <v>21</v>
      </c>
      <c r="D901" t="str" cm="1">
        <f t="array" ref="D901">_xlfn.IFS(OR(LOWER(C901)="f",LOWER(C901)="female"),"Female",TRUE,"Male")</f>
        <v>Female</v>
      </c>
      <c r="E901">
        <v>39</v>
      </c>
      <c r="F901">
        <f t="shared" si="70"/>
        <v>39</v>
      </c>
      <c r="G901" t="s">
        <v>56</v>
      </c>
      <c r="H901" t="s">
        <v>57</v>
      </c>
      <c r="I901" t="s">
        <v>80</v>
      </c>
      <c r="J901">
        <v>18</v>
      </c>
      <c r="K901">
        <f t="shared" si="71"/>
        <v>18</v>
      </c>
      <c r="L901">
        <v>50</v>
      </c>
      <c r="M901" t="str">
        <f t="shared" si="72"/>
        <v>50</v>
      </c>
      <c r="N901">
        <v>2.1</v>
      </c>
      <c r="O901" s="3">
        <f t="shared" si="73"/>
        <v>2.1</v>
      </c>
      <c r="P901">
        <v>0</v>
      </c>
      <c r="Q901" t="str" cm="1">
        <f t="array" ref="Q901">_xlfn.IFS(ISBLANK(P901),"Not Specified",OR(P901="N",P901=FALSE,P901="no",P901=0),"no",TRUE,"yes")</f>
        <v>no</v>
      </c>
      <c r="R901">
        <v>75</v>
      </c>
      <c r="S901">
        <f t="shared" si="74"/>
        <v>75</v>
      </c>
    </row>
    <row r="902" spans="1:19">
      <c r="A902" t="s">
        <v>1885</v>
      </c>
      <c r="B902" t="s">
        <v>1886</v>
      </c>
      <c r="C902" t="s">
        <v>84</v>
      </c>
      <c r="D902" t="str" cm="1">
        <f t="array" ref="D902">_xlfn.IFS(OR(LOWER(C902)="f",LOWER(C902)="female"),"Female",TRUE,"Male")</f>
        <v>Female</v>
      </c>
      <c r="E902">
        <v>37</v>
      </c>
      <c r="F902">
        <f t="shared" si="70"/>
        <v>37</v>
      </c>
      <c r="G902" t="s">
        <v>65</v>
      </c>
      <c r="H902" t="s">
        <v>29</v>
      </c>
      <c r="I902" t="s">
        <v>24</v>
      </c>
      <c r="J902">
        <v>18</v>
      </c>
      <c r="K902">
        <f t="shared" si="71"/>
        <v>18</v>
      </c>
      <c r="L902">
        <v>40</v>
      </c>
      <c r="M902" t="str">
        <f t="shared" si="72"/>
        <v>40</v>
      </c>
      <c r="N902">
        <v>4.5</v>
      </c>
      <c r="O902" s="3">
        <f t="shared" si="73"/>
        <v>4.5</v>
      </c>
      <c r="P902" t="s">
        <v>166</v>
      </c>
      <c r="Q902" t="str" cm="1">
        <f t="array" ref="Q902">_xlfn.IFS(ISBLANK(P902),"Not Specified",OR(P902="N",P902=FALSE,P902="no",P902=0),"no",TRUE,"yes")</f>
        <v>no</v>
      </c>
      <c r="R902" s="5">
        <v>0.72</v>
      </c>
      <c r="S902">
        <f t="shared" si="74"/>
        <v>72</v>
      </c>
    </row>
    <row r="903" spans="1:19">
      <c r="A903" t="s">
        <v>1887</v>
      </c>
      <c r="B903" t="s">
        <v>1888</v>
      </c>
      <c r="C903" t="s">
        <v>84</v>
      </c>
      <c r="D903" t="str" cm="1">
        <f t="array" ref="D903">_xlfn.IFS(OR(LOWER(C903)="f",LOWER(C903)="female"),"Female",TRUE,"Male")</f>
        <v>Female</v>
      </c>
      <c r="E903">
        <v>47</v>
      </c>
      <c r="F903">
        <f t="shared" si="70"/>
        <v>47</v>
      </c>
      <c r="G903" t="s">
        <v>131</v>
      </c>
      <c r="H903" t="s">
        <v>132</v>
      </c>
      <c r="I903" t="s">
        <v>80</v>
      </c>
      <c r="J903">
        <v>3</v>
      </c>
      <c r="K903">
        <f t="shared" si="71"/>
        <v>3</v>
      </c>
      <c r="L903">
        <v>40</v>
      </c>
      <c r="M903" t="str">
        <f t="shared" si="72"/>
        <v>40</v>
      </c>
      <c r="N903">
        <v>4.4</v>
      </c>
      <c r="O903" s="3">
        <f t="shared" si="73"/>
        <v>4.4</v>
      </c>
      <c r="P903" t="s">
        <v>75</v>
      </c>
      <c r="Q903" t="str" cm="1">
        <f t="array" ref="Q903">_xlfn.IFS(ISBLANK(P903),"Not Specified",OR(P903="N",P903=FALSE,P903="no",P903=0),"no",TRUE,"yes")</f>
        <v>yes</v>
      </c>
      <c r="R903" s="5">
        <v>0.92</v>
      </c>
      <c r="S903">
        <f t="shared" si="74"/>
        <v>92</v>
      </c>
    </row>
    <row r="904" spans="1:19">
      <c r="A904" t="s">
        <v>1889</v>
      </c>
      <c r="B904" t="s">
        <v>1890</v>
      </c>
      <c r="C904" t="s">
        <v>27</v>
      </c>
      <c r="D904" t="str" cm="1">
        <f t="array" ref="D904">_xlfn.IFS(OR(LOWER(C904)="f",LOWER(C904)="female"),"Female",TRUE,"Male")</f>
        <v>Female</v>
      </c>
      <c r="E904">
        <v>53</v>
      </c>
      <c r="F904">
        <f t="shared" si="70"/>
        <v>53</v>
      </c>
      <c r="G904" t="s">
        <v>131</v>
      </c>
      <c r="H904" t="s">
        <v>132</v>
      </c>
      <c r="I904" t="s">
        <v>37</v>
      </c>
      <c r="J904">
        <v>32</v>
      </c>
      <c r="K904">
        <f t="shared" si="71"/>
        <v>32</v>
      </c>
      <c r="L904" t="s">
        <v>321</v>
      </c>
      <c r="M904" t="str">
        <f t="shared" si="72"/>
        <v> 20</v>
      </c>
      <c r="N904">
        <v>0</v>
      </c>
      <c r="O904" s="3" t="str">
        <f t="shared" si="73"/>
        <v>Not Specified</v>
      </c>
      <c r="P904" t="s">
        <v>38</v>
      </c>
      <c r="Q904" t="str" cm="1">
        <f t="array" ref="Q904">_xlfn.IFS(ISBLANK(P904),"Not Specified",OR(P904="N",P904=FALSE,P904="no",P904=0),"no",TRUE,"yes")</f>
        <v>no</v>
      </c>
      <c r="S904" t="str">
        <f t="shared" si="74"/>
        <v>Not Specified</v>
      </c>
    </row>
    <row r="905" spans="1:19">
      <c r="A905" t="s">
        <v>1891</v>
      </c>
      <c r="B905" t="s">
        <v>1892</v>
      </c>
      <c r="C905" t="s">
        <v>46</v>
      </c>
      <c r="D905" t="str" cm="1">
        <f t="array" ref="D905">_xlfn.IFS(OR(LOWER(C905)="f",LOWER(C905)="female"),"Female",TRUE,"Male")</f>
        <v>Female</v>
      </c>
      <c r="E905">
        <v>53</v>
      </c>
      <c r="F905">
        <f t="shared" si="70"/>
        <v>53</v>
      </c>
      <c r="G905" t="s">
        <v>78</v>
      </c>
      <c r="H905" t="s">
        <v>79</v>
      </c>
      <c r="I905" t="s">
        <v>30</v>
      </c>
      <c r="J905">
        <v>19</v>
      </c>
      <c r="K905">
        <f t="shared" si="71"/>
        <v>19</v>
      </c>
      <c r="L905" t="s">
        <v>321</v>
      </c>
      <c r="M905" t="str">
        <f t="shared" si="72"/>
        <v> 20</v>
      </c>
      <c r="N905">
        <v>1.3</v>
      </c>
      <c r="O905" s="3">
        <f t="shared" si="73"/>
        <v>1.3</v>
      </c>
      <c r="P905">
        <v>0</v>
      </c>
      <c r="Q905" t="str" cm="1">
        <f t="array" ref="Q905">_xlfn.IFS(ISBLANK(P905),"Not Specified",OR(P905="N",P905=FALSE,P905="no",P905=0),"no",TRUE,"yes")</f>
        <v>no</v>
      </c>
      <c r="S905" t="str">
        <f t="shared" si="74"/>
        <v>Not Specified</v>
      </c>
    </row>
    <row r="906" spans="1:19">
      <c r="A906" t="s">
        <v>1893</v>
      </c>
      <c r="B906" t="s">
        <v>1894</v>
      </c>
      <c r="C906" t="s">
        <v>34</v>
      </c>
      <c r="D906" t="str" cm="1">
        <f t="array" ref="D906">_xlfn.IFS(OR(LOWER(C906)="f",LOWER(C906)="female"),"Female",TRUE,"Male")</f>
        <v>Male</v>
      </c>
      <c r="E906">
        <v>21</v>
      </c>
      <c r="F906">
        <f t="shared" si="70"/>
        <v>21</v>
      </c>
      <c r="G906" t="s">
        <v>100</v>
      </c>
      <c r="H906" t="s">
        <v>101</v>
      </c>
      <c r="I906" t="s">
        <v>58</v>
      </c>
      <c r="J906">
        <v>2</v>
      </c>
      <c r="K906">
        <f t="shared" si="71"/>
        <v>2</v>
      </c>
      <c r="L906">
        <v>50</v>
      </c>
      <c r="M906" t="str">
        <f t="shared" si="72"/>
        <v>50</v>
      </c>
      <c r="N906">
        <v>2.6</v>
      </c>
      <c r="O906" s="3">
        <f t="shared" si="73"/>
        <v>2.6</v>
      </c>
      <c r="P906" t="b">
        <v>0</v>
      </c>
      <c r="Q906" t="str" cm="1">
        <f t="array" ref="Q906">_xlfn.IFS(ISBLANK(P906),"Not Specified",OR(P906="N",P906=FALSE,P906="no",P906=0),"no",TRUE,"yes")</f>
        <v>no</v>
      </c>
      <c r="R906" s="5">
        <v>0.86</v>
      </c>
      <c r="S906">
        <f t="shared" si="74"/>
        <v>86</v>
      </c>
    </row>
    <row r="907" spans="1:19">
      <c r="A907" t="s">
        <v>1895</v>
      </c>
      <c r="B907" t="s">
        <v>1896</v>
      </c>
      <c r="C907" t="s">
        <v>46</v>
      </c>
      <c r="D907" t="str" cm="1">
        <f t="array" ref="D907">_xlfn.IFS(OR(LOWER(C907)="f",LOWER(C907)="female"),"Female",TRUE,"Male")</f>
        <v>Female</v>
      </c>
      <c r="E907">
        <v>35</v>
      </c>
      <c r="F907">
        <f t="shared" si="70"/>
        <v>35</v>
      </c>
      <c r="G907" t="s">
        <v>74</v>
      </c>
      <c r="H907" t="s">
        <v>29</v>
      </c>
      <c r="I907" t="s">
        <v>24</v>
      </c>
      <c r="J907">
        <v>0</v>
      </c>
      <c r="K907">
        <f t="shared" si="71"/>
        <v>0</v>
      </c>
      <c r="M907" t="str">
        <f t="shared" si="72"/>
        <v>Not Specified</v>
      </c>
      <c r="O907" s="3" t="str">
        <f t="shared" si="73"/>
        <v>Not Specified</v>
      </c>
      <c r="P907" t="s">
        <v>81</v>
      </c>
      <c r="Q907" t="str" cm="1">
        <f t="array" ref="Q907">_xlfn.IFS(ISBLANK(P907),"Not Specified",OR(P907="N",P907=FALSE,P907="no",P907=0),"no",TRUE,"yes")</f>
        <v>yes</v>
      </c>
      <c r="R907">
        <v>85</v>
      </c>
      <c r="S907">
        <f t="shared" si="74"/>
        <v>85</v>
      </c>
    </row>
    <row r="908" spans="1:19">
      <c r="A908" t="s">
        <v>1897</v>
      </c>
      <c r="B908" t="s">
        <v>1898</v>
      </c>
      <c r="C908" t="s">
        <v>104</v>
      </c>
      <c r="D908" t="str" cm="1">
        <f t="array" ref="D908">_xlfn.IFS(OR(LOWER(C908)="f",LOWER(C908)="female"),"Female",TRUE,"Male")</f>
        <v>Male</v>
      </c>
      <c r="E908">
        <v>31</v>
      </c>
      <c r="F908">
        <f t="shared" si="70"/>
        <v>31</v>
      </c>
      <c r="G908" t="s">
        <v>78</v>
      </c>
      <c r="H908" t="s">
        <v>79</v>
      </c>
      <c r="I908" t="s">
        <v>121</v>
      </c>
      <c r="J908">
        <v>13</v>
      </c>
      <c r="K908">
        <f t="shared" si="71"/>
        <v>13</v>
      </c>
      <c r="L908" t="s">
        <v>43</v>
      </c>
      <c r="M908" t="str">
        <f t="shared" si="72"/>
        <v>40</v>
      </c>
      <c r="N908">
        <v>1.2</v>
      </c>
      <c r="O908" s="3">
        <f t="shared" si="73"/>
        <v>1.2</v>
      </c>
      <c r="P908" t="b">
        <v>0</v>
      </c>
      <c r="Q908" t="str" cm="1">
        <f t="array" ref="Q908">_xlfn.IFS(ISBLANK(P908),"Not Specified",OR(P908="N",P908=FALSE,P908="no",P908=0),"no",TRUE,"yes")</f>
        <v>no</v>
      </c>
      <c r="R908">
        <v>62</v>
      </c>
      <c r="S908">
        <f t="shared" si="74"/>
        <v>62</v>
      </c>
    </row>
    <row r="909" spans="1:19">
      <c r="A909" t="s">
        <v>1899</v>
      </c>
      <c r="B909" t="s">
        <v>1900</v>
      </c>
      <c r="C909" t="s">
        <v>84</v>
      </c>
      <c r="D909" t="str" cm="1">
        <f t="array" ref="D909">_xlfn.IFS(OR(LOWER(C909)="f",LOWER(C909)="female"),"Female",TRUE,"Male")</f>
        <v>Female</v>
      </c>
      <c r="E909">
        <v>55</v>
      </c>
      <c r="F909">
        <f t="shared" si="70"/>
        <v>55</v>
      </c>
      <c r="G909" t="s">
        <v>119</v>
      </c>
      <c r="H909" t="s">
        <v>120</v>
      </c>
      <c r="I909" t="s">
        <v>51</v>
      </c>
      <c r="J909">
        <v>2</v>
      </c>
      <c r="K909">
        <f t="shared" si="71"/>
        <v>2</v>
      </c>
      <c r="L909" t="s">
        <v>116</v>
      </c>
      <c r="M909" t="str">
        <f t="shared" si="72"/>
        <v> 30</v>
      </c>
      <c r="N909">
        <v>3.1</v>
      </c>
      <c r="O909" s="3">
        <f t="shared" si="73"/>
        <v>3.1</v>
      </c>
      <c r="P909" t="s">
        <v>81</v>
      </c>
      <c r="Q909" t="str" cm="1">
        <f t="array" ref="Q909">_xlfn.IFS(ISBLANK(P909),"Not Specified",OR(P909="N",P909=FALSE,P909="no",P909=0),"no",TRUE,"yes")</f>
        <v>yes</v>
      </c>
      <c r="R909" s="5">
        <v>0.91</v>
      </c>
      <c r="S909">
        <f t="shared" si="74"/>
        <v>91</v>
      </c>
    </row>
    <row r="910" spans="1:19">
      <c r="A910" t="s">
        <v>1901</v>
      </c>
      <c r="B910" t="s">
        <v>1902</v>
      </c>
      <c r="C910" t="s">
        <v>21</v>
      </c>
      <c r="D910" t="str" cm="1">
        <f t="array" ref="D910">_xlfn.IFS(OR(LOWER(C910)="f",LOWER(C910)="female"),"Female",TRUE,"Male")</f>
        <v>Female</v>
      </c>
      <c r="E910">
        <v>59</v>
      </c>
      <c r="F910">
        <f t="shared" si="70"/>
        <v>59</v>
      </c>
      <c r="G910" t="s">
        <v>69</v>
      </c>
      <c r="H910" t="s">
        <v>70</v>
      </c>
      <c r="I910" t="s">
        <v>42</v>
      </c>
      <c r="J910">
        <v>11</v>
      </c>
      <c r="K910">
        <f t="shared" si="71"/>
        <v>11</v>
      </c>
      <c r="L910" t="s">
        <v>177</v>
      </c>
      <c r="M910" t="str">
        <f t="shared" si="72"/>
        <v>75</v>
      </c>
      <c r="N910">
        <v>2.3</v>
      </c>
      <c r="O910" s="3">
        <f t="shared" si="73"/>
        <v>2.3</v>
      </c>
      <c r="P910" t="s">
        <v>81</v>
      </c>
      <c r="Q910" t="str" cm="1">
        <f t="array" ref="Q910">_xlfn.IFS(ISBLANK(P910),"Not Specified",OR(P910="N",P910=FALSE,P910="no",P910=0),"no",TRUE,"yes")</f>
        <v>yes</v>
      </c>
      <c r="R910" s="5">
        <v>0.8</v>
      </c>
      <c r="S910">
        <f t="shared" si="74"/>
        <v>80</v>
      </c>
    </row>
    <row r="911" spans="1:19">
      <c r="A911" t="s">
        <v>1903</v>
      </c>
      <c r="B911" t="s">
        <v>1904</v>
      </c>
      <c r="C911" t="s">
        <v>68</v>
      </c>
      <c r="D911" t="str" cm="1">
        <f t="array" ref="D911">_xlfn.IFS(OR(LOWER(C911)="f",LOWER(C911)="female"),"Female",TRUE,"Male")</f>
        <v>Male</v>
      </c>
      <c r="E911">
        <v>59</v>
      </c>
      <c r="F911">
        <f t="shared" si="70"/>
        <v>59</v>
      </c>
      <c r="G911" t="s">
        <v>142</v>
      </c>
      <c r="H911" t="s">
        <v>143</v>
      </c>
      <c r="I911" t="s">
        <v>85</v>
      </c>
      <c r="J911">
        <v>17</v>
      </c>
      <c r="K911">
        <f t="shared" si="71"/>
        <v>17</v>
      </c>
      <c r="L911">
        <v>100</v>
      </c>
      <c r="M911" t="str">
        <f t="shared" si="72"/>
        <v>100</v>
      </c>
      <c r="N911">
        <v>4</v>
      </c>
      <c r="O911" s="3">
        <f t="shared" si="73"/>
        <v>4</v>
      </c>
      <c r="P911" t="s">
        <v>166</v>
      </c>
      <c r="Q911" t="str" cm="1">
        <f t="array" ref="Q911">_xlfn.IFS(ISBLANK(P911),"Not Specified",OR(P911="N",P911=FALSE,P911="no",P911=0),"no",TRUE,"yes")</f>
        <v>no</v>
      </c>
      <c r="R911" s="5">
        <v>0.72</v>
      </c>
      <c r="S911">
        <f t="shared" si="74"/>
        <v>72</v>
      </c>
    </row>
    <row r="912" spans="1:19">
      <c r="A912" t="s">
        <v>1905</v>
      </c>
      <c r="B912" t="s">
        <v>1906</v>
      </c>
      <c r="C912" t="s">
        <v>99</v>
      </c>
      <c r="D912" t="str" cm="1">
        <f t="array" ref="D912">_xlfn.IFS(OR(LOWER(C912)="f",LOWER(C912)="female"),"Female",TRUE,"Male")</f>
        <v>Male</v>
      </c>
      <c r="E912">
        <v>47</v>
      </c>
      <c r="F912">
        <f t="shared" si="70"/>
        <v>47</v>
      </c>
      <c r="G912" t="s">
        <v>100</v>
      </c>
      <c r="H912" t="s">
        <v>101</v>
      </c>
      <c r="I912" t="s">
        <v>24</v>
      </c>
      <c r="J912">
        <v>10</v>
      </c>
      <c r="K912">
        <f t="shared" si="71"/>
        <v>10</v>
      </c>
      <c r="L912" t="s">
        <v>177</v>
      </c>
      <c r="M912" t="str">
        <f t="shared" si="72"/>
        <v>75</v>
      </c>
      <c r="N912">
        <v>1.9</v>
      </c>
      <c r="O912" s="3">
        <f t="shared" si="73"/>
        <v>1.9</v>
      </c>
      <c r="Q912" t="str" cm="1">
        <f t="array" ref="Q912">_xlfn.IFS(ISBLANK(P912),"Not Specified",OR(P912="N",P912=FALSE,P912="no",P912=0),"no",TRUE,"yes")</f>
        <v>Not Specified</v>
      </c>
      <c r="S912" t="str">
        <f t="shared" si="74"/>
        <v>Not Specified</v>
      </c>
    </row>
    <row r="913" spans="1:19">
      <c r="A913" t="s">
        <v>1907</v>
      </c>
      <c r="B913" t="s">
        <v>1908</v>
      </c>
      <c r="C913" t="s">
        <v>46</v>
      </c>
      <c r="D913" t="str" cm="1">
        <f t="array" ref="D913">_xlfn.IFS(OR(LOWER(C913)="f",LOWER(C913)="female"),"Female",TRUE,"Male")</f>
        <v>Female</v>
      </c>
      <c r="E913">
        <v>53</v>
      </c>
      <c r="F913">
        <f t="shared" si="70"/>
        <v>53</v>
      </c>
      <c r="G913" t="s">
        <v>160</v>
      </c>
      <c r="H913" t="s">
        <v>161</v>
      </c>
      <c r="I913" t="s">
        <v>121</v>
      </c>
      <c r="J913">
        <v>26</v>
      </c>
      <c r="K913">
        <f t="shared" si="71"/>
        <v>26</v>
      </c>
      <c r="L913">
        <v>75</v>
      </c>
      <c r="M913" t="str">
        <f t="shared" si="72"/>
        <v>75</v>
      </c>
      <c r="N913">
        <v>2.4</v>
      </c>
      <c r="O913" s="3">
        <f t="shared" si="73"/>
        <v>2.4</v>
      </c>
      <c r="P913" t="s">
        <v>75</v>
      </c>
      <c r="Q913" t="str" cm="1">
        <f t="array" ref="Q913">_xlfn.IFS(ISBLANK(P913),"Not Specified",OR(P913="N",P913=FALSE,P913="no",P913=0),"no",TRUE,"yes")</f>
        <v>yes</v>
      </c>
      <c r="S913" t="str">
        <f t="shared" si="74"/>
        <v>Not Specified</v>
      </c>
    </row>
    <row r="914" spans="1:19">
      <c r="A914" t="s">
        <v>1909</v>
      </c>
      <c r="B914" t="s">
        <v>526</v>
      </c>
      <c r="C914" t="s">
        <v>68</v>
      </c>
      <c r="D914" t="str" cm="1">
        <f t="array" ref="D914">_xlfn.IFS(OR(LOWER(C914)="f",LOWER(C914)="female"),"Female",TRUE,"Male")</f>
        <v>Male</v>
      </c>
      <c r="E914">
        <v>49</v>
      </c>
      <c r="F914">
        <f t="shared" si="70"/>
        <v>49</v>
      </c>
      <c r="G914" t="s">
        <v>160</v>
      </c>
      <c r="H914" t="s">
        <v>161</v>
      </c>
      <c r="I914" t="s">
        <v>58</v>
      </c>
      <c r="K914" t="str">
        <f t="shared" si="71"/>
        <v>Not Specified</v>
      </c>
      <c r="L914" t="s">
        <v>52</v>
      </c>
      <c r="M914" t="str">
        <f t="shared" si="72"/>
        <v>30</v>
      </c>
      <c r="O914" s="3" t="str">
        <f t="shared" si="73"/>
        <v>Not Specified</v>
      </c>
      <c r="P914" t="s">
        <v>75</v>
      </c>
      <c r="Q914" t="str" cm="1">
        <f t="array" ref="Q914">_xlfn.IFS(ISBLANK(P914),"Not Specified",OR(P914="N",P914=FALSE,P914="no",P914=0),"no",TRUE,"yes")</f>
        <v>yes</v>
      </c>
      <c r="R914" s="5">
        <v>0.74</v>
      </c>
      <c r="S914">
        <f t="shared" si="74"/>
        <v>74</v>
      </c>
    </row>
    <row r="915" spans="1:19">
      <c r="A915" t="s">
        <v>1910</v>
      </c>
      <c r="B915" t="s">
        <v>1911</v>
      </c>
      <c r="C915" t="s">
        <v>21</v>
      </c>
      <c r="D915" t="str" cm="1">
        <f t="array" ref="D915">_xlfn.IFS(OR(LOWER(C915)="f",LOWER(C915)="female"),"Female",TRUE,"Male")</f>
        <v>Female</v>
      </c>
      <c r="E915">
        <v>50</v>
      </c>
      <c r="F915">
        <f t="shared" si="70"/>
        <v>50</v>
      </c>
      <c r="G915" t="s">
        <v>160</v>
      </c>
      <c r="H915" t="s">
        <v>161</v>
      </c>
      <c r="I915" t="s">
        <v>30</v>
      </c>
      <c r="J915">
        <v>8</v>
      </c>
      <c r="K915">
        <f t="shared" si="71"/>
        <v>8</v>
      </c>
      <c r="L915" t="s">
        <v>105</v>
      </c>
      <c r="M915" t="str">
        <f t="shared" si="72"/>
        <v> 50</v>
      </c>
      <c r="N915">
        <v>3.7</v>
      </c>
      <c r="O915" s="3">
        <f t="shared" si="73"/>
        <v>3.7</v>
      </c>
      <c r="P915" t="s">
        <v>81</v>
      </c>
      <c r="Q915" t="str" cm="1">
        <f t="array" ref="Q915">_xlfn.IFS(ISBLANK(P915),"Not Specified",OR(P915="N",P915=FALSE,P915="no",P915=0),"no",TRUE,"yes")</f>
        <v>yes</v>
      </c>
      <c r="R915" s="5">
        <v>0.82</v>
      </c>
      <c r="S915">
        <f t="shared" si="74"/>
        <v>82</v>
      </c>
    </row>
    <row r="916" spans="1:19">
      <c r="A916" t="s">
        <v>1912</v>
      </c>
      <c r="B916" t="s">
        <v>1913</v>
      </c>
      <c r="C916" t="s">
        <v>46</v>
      </c>
      <c r="D916" t="str" cm="1">
        <f t="array" ref="D916">_xlfn.IFS(OR(LOWER(C916)="f",LOWER(C916)="female"),"Female",TRUE,"Male")</f>
        <v>Female</v>
      </c>
      <c r="E916">
        <v>59</v>
      </c>
      <c r="F916">
        <f t="shared" si="70"/>
        <v>59</v>
      </c>
      <c r="G916" t="s">
        <v>119</v>
      </c>
      <c r="H916" t="s">
        <v>120</v>
      </c>
      <c r="I916" t="s">
        <v>121</v>
      </c>
      <c r="J916">
        <v>22</v>
      </c>
      <c r="K916">
        <f t="shared" si="71"/>
        <v>22</v>
      </c>
      <c r="L916" t="s">
        <v>31</v>
      </c>
      <c r="M916" t="str">
        <f t="shared" si="72"/>
        <v> 100</v>
      </c>
      <c r="N916">
        <v>1.1</v>
      </c>
      <c r="O916" s="3">
        <f t="shared" si="73"/>
        <v>1.1</v>
      </c>
      <c r="P916" t="s">
        <v>166</v>
      </c>
      <c r="Q916" t="str" cm="1">
        <f t="array" ref="Q916">_xlfn.IFS(ISBLANK(P916),"Not Specified",OR(P916="N",P916=FALSE,P916="no",P916=0),"no",TRUE,"yes")</f>
        <v>no</v>
      </c>
      <c r="R916" s="5">
        <v>0.85</v>
      </c>
      <c r="S916">
        <f t="shared" si="74"/>
        <v>85</v>
      </c>
    </row>
    <row r="917" spans="1:19">
      <c r="A917" t="s">
        <v>1914</v>
      </c>
      <c r="B917" t="s">
        <v>1915</v>
      </c>
      <c r="C917" t="s">
        <v>99</v>
      </c>
      <c r="D917" t="str" cm="1">
        <f t="array" ref="D917">_xlfn.IFS(OR(LOWER(C917)="f",LOWER(C917)="female"),"Female",TRUE,"Male")</f>
        <v>Male</v>
      </c>
      <c r="E917">
        <v>33</v>
      </c>
      <c r="F917">
        <f t="shared" si="70"/>
        <v>33</v>
      </c>
      <c r="G917" t="s">
        <v>69</v>
      </c>
      <c r="H917" t="s">
        <v>70</v>
      </c>
      <c r="I917" t="s">
        <v>58</v>
      </c>
      <c r="J917">
        <v>8</v>
      </c>
      <c r="K917">
        <f t="shared" si="71"/>
        <v>8</v>
      </c>
      <c r="L917" t="s">
        <v>59</v>
      </c>
      <c r="M917" t="str">
        <f t="shared" si="72"/>
        <v> 75</v>
      </c>
      <c r="N917">
        <v>2.3</v>
      </c>
      <c r="O917" s="3">
        <f t="shared" si="73"/>
        <v>2.3</v>
      </c>
      <c r="P917" t="b">
        <v>1</v>
      </c>
      <c r="Q917" t="str" cm="1">
        <f t="array" ref="Q917">_xlfn.IFS(ISBLANK(P917),"Not Specified",OR(P917="N",P917=FALSE,P917="no",P917=0),"no",TRUE,"yes")</f>
        <v>yes</v>
      </c>
      <c r="R917" s="5">
        <v>0.68</v>
      </c>
      <c r="S917">
        <f t="shared" si="74"/>
        <v>68</v>
      </c>
    </row>
    <row r="918" spans="1:19">
      <c r="A918" t="s">
        <v>1916</v>
      </c>
      <c r="B918" t="s">
        <v>1917</v>
      </c>
      <c r="C918" t="s">
        <v>21</v>
      </c>
      <c r="D918" t="str" cm="1">
        <f t="array" ref="D918">_xlfn.IFS(OR(LOWER(C918)="f",LOWER(C918)="female"),"Female",TRUE,"Male")</f>
        <v>Female</v>
      </c>
      <c r="E918">
        <v>45</v>
      </c>
      <c r="F918">
        <f t="shared" si="70"/>
        <v>45</v>
      </c>
      <c r="G918" t="s">
        <v>135</v>
      </c>
      <c r="H918" t="s">
        <v>29</v>
      </c>
      <c r="I918" t="s">
        <v>42</v>
      </c>
      <c r="J918">
        <v>22</v>
      </c>
      <c r="K918">
        <f t="shared" si="71"/>
        <v>22</v>
      </c>
      <c r="L918">
        <v>40</v>
      </c>
      <c r="M918" t="str">
        <f t="shared" si="72"/>
        <v>40</v>
      </c>
      <c r="N918">
        <v>3.7</v>
      </c>
      <c r="O918" s="3">
        <f t="shared" si="73"/>
        <v>3.7</v>
      </c>
      <c r="P918" t="s">
        <v>81</v>
      </c>
      <c r="Q918" t="str" cm="1">
        <f t="array" ref="Q918">_xlfn.IFS(ISBLANK(P918),"Not Specified",OR(P918="N",P918=FALSE,P918="no",P918=0),"no",TRUE,"yes")</f>
        <v>yes</v>
      </c>
      <c r="R918" s="5">
        <v>0.99</v>
      </c>
      <c r="S918">
        <f t="shared" si="74"/>
        <v>99</v>
      </c>
    </row>
    <row r="919" spans="1:19">
      <c r="A919" t="s">
        <v>1918</v>
      </c>
      <c r="B919" t="s">
        <v>1919</v>
      </c>
      <c r="C919" t="s">
        <v>46</v>
      </c>
      <c r="D919" t="str" cm="1">
        <f t="array" ref="D919">_xlfn.IFS(OR(LOWER(C919)="f",LOWER(C919)="female"),"Female",TRUE,"Male")</f>
        <v>Female</v>
      </c>
      <c r="E919">
        <v>36</v>
      </c>
      <c r="F919">
        <f t="shared" si="70"/>
        <v>36</v>
      </c>
      <c r="G919" t="s">
        <v>22</v>
      </c>
      <c r="H919" t="s">
        <v>23</v>
      </c>
      <c r="I919" t="s">
        <v>37</v>
      </c>
      <c r="J919">
        <v>14</v>
      </c>
      <c r="K919">
        <f t="shared" si="71"/>
        <v>14</v>
      </c>
      <c r="L919">
        <v>30</v>
      </c>
      <c r="M919" t="str">
        <f t="shared" si="72"/>
        <v>30</v>
      </c>
      <c r="N919">
        <v>1.9</v>
      </c>
      <c r="O919" s="3">
        <f t="shared" si="73"/>
        <v>1.9</v>
      </c>
      <c r="P919">
        <v>0</v>
      </c>
      <c r="Q919" t="str" cm="1">
        <f t="array" ref="Q919">_xlfn.IFS(ISBLANK(P919),"Not Specified",OR(P919="N",P919=FALSE,P919="no",P919=0),"no",TRUE,"yes")</f>
        <v>no</v>
      </c>
      <c r="R919" s="5">
        <v>0.62</v>
      </c>
      <c r="S919">
        <f t="shared" si="74"/>
        <v>62</v>
      </c>
    </row>
    <row r="920" spans="1:19">
      <c r="A920" t="s">
        <v>1920</v>
      </c>
      <c r="B920" t="s">
        <v>1921</v>
      </c>
      <c r="C920" t="s">
        <v>34</v>
      </c>
      <c r="D920" t="str" cm="1">
        <f t="array" ref="D920">_xlfn.IFS(OR(LOWER(C920)="f",LOWER(C920)="female"),"Female",TRUE,"Male")</f>
        <v>Male</v>
      </c>
      <c r="E920">
        <v>46</v>
      </c>
      <c r="F920">
        <f t="shared" si="70"/>
        <v>46</v>
      </c>
      <c r="G920" t="s">
        <v>160</v>
      </c>
      <c r="H920" t="s">
        <v>161</v>
      </c>
      <c r="I920" t="s">
        <v>80</v>
      </c>
      <c r="J920">
        <v>6</v>
      </c>
      <c r="K920">
        <f t="shared" si="71"/>
        <v>6</v>
      </c>
      <c r="L920">
        <v>30</v>
      </c>
      <c r="M920" t="str">
        <f t="shared" si="72"/>
        <v>30</v>
      </c>
      <c r="N920">
        <v>1.5</v>
      </c>
      <c r="O920" s="3">
        <f t="shared" si="73"/>
        <v>1.5</v>
      </c>
      <c r="P920" t="s">
        <v>38</v>
      </c>
      <c r="Q920" t="str" cm="1">
        <f t="array" ref="Q920">_xlfn.IFS(ISBLANK(P920),"Not Specified",OR(P920="N",P920=FALSE,P920="no",P920=0),"no",TRUE,"yes")</f>
        <v>no</v>
      </c>
      <c r="S920" t="str">
        <f t="shared" si="74"/>
        <v>Not Specified</v>
      </c>
    </row>
    <row r="921" spans="1:19">
      <c r="A921" t="s">
        <v>1922</v>
      </c>
      <c r="B921" t="s">
        <v>1923</v>
      </c>
      <c r="C921" t="s">
        <v>46</v>
      </c>
      <c r="D921" t="str" cm="1">
        <f t="array" ref="D921">_xlfn.IFS(OR(LOWER(C921)="f",LOWER(C921)="female"),"Female",TRUE,"Male")</f>
        <v>Female</v>
      </c>
      <c r="E921">
        <v>53</v>
      </c>
      <c r="F921">
        <f t="shared" si="70"/>
        <v>53</v>
      </c>
      <c r="G921" t="s">
        <v>69</v>
      </c>
      <c r="H921" t="s">
        <v>70</v>
      </c>
      <c r="I921" t="s">
        <v>37</v>
      </c>
      <c r="J921">
        <v>14</v>
      </c>
      <c r="K921">
        <f t="shared" si="71"/>
        <v>14</v>
      </c>
      <c r="L921">
        <v>30</v>
      </c>
      <c r="M921" t="str">
        <f t="shared" si="72"/>
        <v>30</v>
      </c>
      <c r="N921">
        <v>0</v>
      </c>
      <c r="O921" s="3" t="str">
        <f t="shared" si="73"/>
        <v>Not Specified</v>
      </c>
      <c r="P921" t="b">
        <v>0</v>
      </c>
      <c r="Q921" t="str" cm="1">
        <f t="array" ref="Q921">_xlfn.IFS(ISBLANK(P921),"Not Specified",OR(P921="N",P921=FALSE,P921="no",P921=0),"no",TRUE,"yes")</f>
        <v>no</v>
      </c>
      <c r="R921" s="5">
        <v>0.83</v>
      </c>
      <c r="S921">
        <f t="shared" si="74"/>
        <v>83</v>
      </c>
    </row>
    <row r="922" spans="1:19">
      <c r="A922" t="s">
        <v>1924</v>
      </c>
      <c r="B922" t="s">
        <v>1925</v>
      </c>
      <c r="C922" t="s">
        <v>21</v>
      </c>
      <c r="D922" t="str" cm="1">
        <f t="array" ref="D922">_xlfn.IFS(OR(LOWER(C922)="f",LOWER(C922)="female"),"Female",TRUE,"Male")</f>
        <v>Female</v>
      </c>
      <c r="E922">
        <v>24</v>
      </c>
      <c r="F922">
        <f t="shared" si="70"/>
        <v>24</v>
      </c>
      <c r="G922" t="s">
        <v>65</v>
      </c>
      <c r="H922" t="s">
        <v>29</v>
      </c>
      <c r="I922" t="s">
        <v>42</v>
      </c>
      <c r="J922">
        <v>2</v>
      </c>
      <c r="K922">
        <f t="shared" si="71"/>
        <v>2</v>
      </c>
      <c r="L922">
        <v>30</v>
      </c>
      <c r="M922" t="str">
        <f t="shared" si="72"/>
        <v>30</v>
      </c>
      <c r="N922">
        <v>3.6</v>
      </c>
      <c r="O922" s="3">
        <f t="shared" si="73"/>
        <v>3.6</v>
      </c>
      <c r="Q922" t="str" cm="1">
        <f t="array" ref="Q922">_xlfn.IFS(ISBLANK(P922),"Not Specified",OR(P922="N",P922=FALSE,P922="no",P922=0),"no",TRUE,"yes")</f>
        <v>Not Specified</v>
      </c>
      <c r="R922" s="5">
        <v>0.92</v>
      </c>
      <c r="S922">
        <f t="shared" si="74"/>
        <v>92</v>
      </c>
    </row>
    <row r="923" spans="1:19">
      <c r="A923" t="s">
        <v>1926</v>
      </c>
      <c r="B923" t="s">
        <v>1927</v>
      </c>
      <c r="C923" t="s">
        <v>46</v>
      </c>
      <c r="D923" t="str" cm="1">
        <f t="array" ref="D923">_xlfn.IFS(OR(LOWER(C923)="f",LOWER(C923)="female"),"Female",TRUE,"Male")</f>
        <v>Female</v>
      </c>
      <c r="E923">
        <v>49</v>
      </c>
      <c r="F923">
        <f t="shared" si="70"/>
        <v>49</v>
      </c>
      <c r="G923" t="s">
        <v>197</v>
      </c>
      <c r="H923" t="s">
        <v>79</v>
      </c>
      <c r="I923" t="s">
        <v>96</v>
      </c>
      <c r="J923">
        <v>4</v>
      </c>
      <c r="K923">
        <f t="shared" si="71"/>
        <v>4</v>
      </c>
      <c r="L923" t="s">
        <v>177</v>
      </c>
      <c r="M923" t="str">
        <f t="shared" si="72"/>
        <v>75</v>
      </c>
      <c r="N923">
        <v>2.1</v>
      </c>
      <c r="O923" s="3">
        <f t="shared" si="73"/>
        <v>2.1</v>
      </c>
      <c r="Q923" t="str" cm="1">
        <f t="array" ref="Q923">_xlfn.IFS(ISBLANK(P923),"Not Specified",OR(P923="N",P923=FALSE,P923="no",P923=0),"no",TRUE,"yes")</f>
        <v>Not Specified</v>
      </c>
      <c r="R923" s="5">
        <v>0.85</v>
      </c>
      <c r="S923">
        <f t="shared" si="74"/>
        <v>85</v>
      </c>
    </row>
    <row r="924" spans="1:19">
      <c r="A924" t="s">
        <v>1928</v>
      </c>
      <c r="B924" t="s">
        <v>1929</v>
      </c>
      <c r="C924" t="s">
        <v>41</v>
      </c>
      <c r="D924" t="str" cm="1">
        <f t="array" ref="D924">_xlfn.IFS(OR(LOWER(C924)="f",LOWER(C924)="female"),"Female",TRUE,"Male")</f>
        <v>Female</v>
      </c>
      <c r="E924">
        <v>49</v>
      </c>
      <c r="F924">
        <f t="shared" si="70"/>
        <v>49</v>
      </c>
      <c r="G924" t="s">
        <v>119</v>
      </c>
      <c r="H924" t="s">
        <v>120</v>
      </c>
      <c r="I924" t="s">
        <v>51</v>
      </c>
      <c r="J924">
        <v>4</v>
      </c>
      <c r="K924">
        <f t="shared" si="71"/>
        <v>4</v>
      </c>
      <c r="L924">
        <v>75</v>
      </c>
      <c r="M924" t="str">
        <f t="shared" si="72"/>
        <v>75</v>
      </c>
      <c r="N924">
        <v>2.9</v>
      </c>
      <c r="O924" s="3">
        <f t="shared" si="73"/>
        <v>2.9</v>
      </c>
      <c r="P924" t="s">
        <v>38</v>
      </c>
      <c r="Q924" t="str" cm="1">
        <f t="array" ref="Q924">_xlfn.IFS(ISBLANK(P924),"Not Specified",OR(P924="N",P924=FALSE,P924="no",P924=0),"no",TRUE,"yes")</f>
        <v>no</v>
      </c>
      <c r="S924" t="str">
        <f t="shared" si="74"/>
        <v>Not Specified</v>
      </c>
    </row>
    <row r="925" spans="1:19">
      <c r="A925" t="s">
        <v>1930</v>
      </c>
      <c r="B925" t="s">
        <v>1931</v>
      </c>
      <c r="C925" t="s">
        <v>27</v>
      </c>
      <c r="D925" t="str" cm="1">
        <f t="array" ref="D925">_xlfn.IFS(OR(LOWER(C925)="f",LOWER(C925)="female"),"Female",TRUE,"Male")</f>
        <v>Female</v>
      </c>
      <c r="E925">
        <v>49</v>
      </c>
      <c r="F925">
        <f t="shared" si="70"/>
        <v>49</v>
      </c>
      <c r="G925" t="s">
        <v>119</v>
      </c>
      <c r="H925" t="s">
        <v>120</v>
      </c>
      <c r="I925" t="s">
        <v>30</v>
      </c>
      <c r="J925">
        <v>24</v>
      </c>
      <c r="K925">
        <f t="shared" si="71"/>
        <v>24</v>
      </c>
      <c r="L925">
        <v>100</v>
      </c>
      <c r="M925" t="str">
        <f t="shared" si="72"/>
        <v>100</v>
      </c>
      <c r="N925">
        <v>3.6</v>
      </c>
      <c r="O925" s="3">
        <f t="shared" si="73"/>
        <v>3.6</v>
      </c>
      <c r="P925" t="b">
        <v>1</v>
      </c>
      <c r="Q925" t="str" cm="1">
        <f t="array" ref="Q925">_xlfn.IFS(ISBLANK(P925),"Not Specified",OR(P925="N",P925=FALSE,P925="no",P925=0),"no",TRUE,"yes")</f>
        <v>yes</v>
      </c>
      <c r="S925" t="str">
        <f t="shared" si="74"/>
        <v>Not Specified</v>
      </c>
    </row>
    <row r="926" spans="1:19">
      <c r="A926" t="s">
        <v>1932</v>
      </c>
      <c r="B926" t="s">
        <v>1933</v>
      </c>
      <c r="C926" t="s">
        <v>84</v>
      </c>
      <c r="D926" t="str" cm="1">
        <f t="array" ref="D926">_xlfn.IFS(OR(LOWER(C926)="f",LOWER(C926)="female"),"Female",TRUE,"Male")</f>
        <v>Female</v>
      </c>
      <c r="E926">
        <v>58</v>
      </c>
      <c r="F926">
        <f t="shared" si="70"/>
        <v>58</v>
      </c>
      <c r="G926" t="s">
        <v>114</v>
      </c>
      <c r="H926" t="s">
        <v>115</v>
      </c>
      <c r="I926" t="s">
        <v>24</v>
      </c>
      <c r="J926">
        <v>29</v>
      </c>
      <c r="K926">
        <f t="shared" si="71"/>
        <v>29</v>
      </c>
      <c r="L926">
        <v>30</v>
      </c>
      <c r="M926" t="str">
        <f t="shared" si="72"/>
        <v>30</v>
      </c>
      <c r="N926">
        <v>3.3</v>
      </c>
      <c r="O926" s="3">
        <f t="shared" si="73"/>
        <v>3.3</v>
      </c>
      <c r="P926" t="s">
        <v>75</v>
      </c>
      <c r="Q926" t="str" cm="1">
        <f t="array" ref="Q926">_xlfn.IFS(ISBLANK(P926),"Not Specified",OR(P926="N",P926=FALSE,P926="no",P926=0),"no",TRUE,"yes")</f>
        <v>yes</v>
      </c>
      <c r="R926" s="5">
        <v>0.89</v>
      </c>
      <c r="S926">
        <f t="shared" si="74"/>
        <v>89</v>
      </c>
    </row>
    <row r="927" spans="1:19">
      <c r="A927" t="s">
        <v>1934</v>
      </c>
      <c r="B927" t="s">
        <v>1935</v>
      </c>
      <c r="C927" t="s">
        <v>68</v>
      </c>
      <c r="D927" t="str" cm="1">
        <f t="array" ref="D927">_xlfn.IFS(OR(LOWER(C927)="f",LOWER(C927)="female"),"Female",TRUE,"Male")</f>
        <v>Male</v>
      </c>
      <c r="E927">
        <v>50</v>
      </c>
      <c r="F927">
        <f t="shared" si="70"/>
        <v>50</v>
      </c>
      <c r="G927" t="s">
        <v>160</v>
      </c>
      <c r="H927" t="s">
        <v>161</v>
      </c>
      <c r="I927" t="s">
        <v>80</v>
      </c>
      <c r="J927">
        <v>13</v>
      </c>
      <c r="K927">
        <f t="shared" si="71"/>
        <v>13</v>
      </c>
      <c r="M927" t="str">
        <f t="shared" si="72"/>
        <v>Not Specified</v>
      </c>
      <c r="N927">
        <v>2.5</v>
      </c>
      <c r="O927" s="3">
        <f t="shared" si="73"/>
        <v>2.5</v>
      </c>
      <c r="P927" t="s">
        <v>81</v>
      </c>
      <c r="Q927" t="str" cm="1">
        <f t="array" ref="Q927">_xlfn.IFS(ISBLANK(P927),"Not Specified",OR(P927="N",P927=FALSE,P927="no",P927=0),"no",TRUE,"yes")</f>
        <v>yes</v>
      </c>
      <c r="R927" s="5">
        <v>0.81</v>
      </c>
      <c r="S927">
        <f t="shared" si="74"/>
        <v>81</v>
      </c>
    </row>
    <row r="928" spans="1:19">
      <c r="A928" t="s">
        <v>1936</v>
      </c>
      <c r="B928" t="s">
        <v>1937</v>
      </c>
      <c r="C928" t="s">
        <v>99</v>
      </c>
      <c r="D928" t="str" cm="1">
        <f t="array" ref="D928">_xlfn.IFS(OR(LOWER(C928)="f",LOWER(C928)="female"),"Female",TRUE,"Male")</f>
        <v>Male</v>
      </c>
      <c r="E928">
        <v>27</v>
      </c>
      <c r="F928">
        <f t="shared" si="70"/>
        <v>27</v>
      </c>
      <c r="G928" t="s">
        <v>160</v>
      </c>
      <c r="H928" t="s">
        <v>161</v>
      </c>
      <c r="I928" t="s">
        <v>96</v>
      </c>
      <c r="J928">
        <v>1</v>
      </c>
      <c r="K928">
        <f t="shared" si="71"/>
        <v>1</v>
      </c>
      <c r="L928" t="s">
        <v>31</v>
      </c>
      <c r="M928" t="str">
        <f t="shared" si="72"/>
        <v> 100</v>
      </c>
      <c r="N928">
        <v>3.7</v>
      </c>
      <c r="O928" s="3">
        <f t="shared" si="73"/>
        <v>3.7</v>
      </c>
      <c r="P928" t="s">
        <v>81</v>
      </c>
      <c r="Q928" t="str" cm="1">
        <f t="array" ref="Q928">_xlfn.IFS(ISBLANK(P928),"Not Specified",OR(P928="N",P928=FALSE,P928="no",P928=0),"no",TRUE,"yes")</f>
        <v>yes</v>
      </c>
      <c r="R928">
        <v>61</v>
      </c>
      <c r="S928">
        <f t="shared" si="74"/>
        <v>61</v>
      </c>
    </row>
    <row r="929" spans="1:19">
      <c r="A929" t="s">
        <v>1938</v>
      </c>
      <c r="B929" t="s">
        <v>1939</v>
      </c>
      <c r="C929" t="s">
        <v>41</v>
      </c>
      <c r="D929" t="str" cm="1">
        <f t="array" ref="D929">_xlfn.IFS(OR(LOWER(C929)="f",LOWER(C929)="female"),"Female",TRUE,"Male")</f>
        <v>Female</v>
      </c>
      <c r="E929">
        <v>20</v>
      </c>
      <c r="F929">
        <f t="shared" si="70"/>
        <v>20</v>
      </c>
      <c r="G929" t="s">
        <v>119</v>
      </c>
      <c r="H929" t="s">
        <v>120</v>
      </c>
      <c r="I929" t="s">
        <v>121</v>
      </c>
      <c r="K929" t="str">
        <f t="shared" si="71"/>
        <v>Not Specified</v>
      </c>
      <c r="L929" t="s">
        <v>52</v>
      </c>
      <c r="M929" t="str">
        <f t="shared" si="72"/>
        <v>30</v>
      </c>
      <c r="N929">
        <v>4.6</v>
      </c>
      <c r="O929" s="3">
        <f t="shared" si="73"/>
        <v>4.6</v>
      </c>
      <c r="P929">
        <v>1</v>
      </c>
      <c r="Q929" t="str" cm="1">
        <f t="array" ref="Q929">_xlfn.IFS(ISBLANK(P929),"Not Specified",OR(P929="N",P929=FALSE,P929="no",P929=0),"no",TRUE,"yes")</f>
        <v>yes</v>
      </c>
      <c r="S929" t="str">
        <f t="shared" si="74"/>
        <v>Not Specified</v>
      </c>
    </row>
    <row r="930" spans="1:19">
      <c r="A930" t="s">
        <v>1940</v>
      </c>
      <c r="B930" t="s">
        <v>1941</v>
      </c>
      <c r="C930" t="s">
        <v>68</v>
      </c>
      <c r="D930" t="str" cm="1">
        <f t="array" ref="D930">_xlfn.IFS(OR(LOWER(C930)="f",LOWER(C930)="female"),"Female",TRUE,"Male")</f>
        <v>Male</v>
      </c>
      <c r="E930">
        <v>52</v>
      </c>
      <c r="F930">
        <f t="shared" si="70"/>
        <v>52</v>
      </c>
      <c r="G930" t="s">
        <v>131</v>
      </c>
      <c r="H930" t="s">
        <v>132</v>
      </c>
      <c r="I930" t="s">
        <v>24</v>
      </c>
      <c r="J930">
        <v>15</v>
      </c>
      <c r="K930">
        <f t="shared" si="71"/>
        <v>15</v>
      </c>
      <c r="L930" t="s">
        <v>43</v>
      </c>
      <c r="M930" t="str">
        <f t="shared" si="72"/>
        <v>40</v>
      </c>
      <c r="N930">
        <v>0</v>
      </c>
      <c r="O930" s="3" t="str">
        <f t="shared" si="73"/>
        <v>Not Specified</v>
      </c>
      <c r="P930">
        <v>1</v>
      </c>
      <c r="Q930" t="str" cm="1">
        <f t="array" ref="Q930">_xlfn.IFS(ISBLANK(P930),"Not Specified",OR(P930="N",P930=FALSE,P930="no",P930=0),"no",TRUE,"yes")</f>
        <v>yes</v>
      </c>
      <c r="R930" s="5">
        <v>0.92</v>
      </c>
      <c r="S930">
        <f t="shared" si="74"/>
        <v>92</v>
      </c>
    </row>
    <row r="931" spans="1:19">
      <c r="A931" t="s">
        <v>1942</v>
      </c>
      <c r="B931" t="s">
        <v>1943</v>
      </c>
      <c r="C931" t="s">
        <v>84</v>
      </c>
      <c r="D931" t="str" cm="1">
        <f t="array" ref="D931">_xlfn.IFS(OR(LOWER(C931)="f",LOWER(C931)="female"),"Female",TRUE,"Male")</f>
        <v>Female</v>
      </c>
      <c r="E931">
        <v>22</v>
      </c>
      <c r="F931">
        <f t="shared" si="70"/>
        <v>22</v>
      </c>
      <c r="G931" t="s">
        <v>142</v>
      </c>
      <c r="H931" t="s">
        <v>143</v>
      </c>
      <c r="I931" t="s">
        <v>121</v>
      </c>
      <c r="J931">
        <v>2</v>
      </c>
      <c r="K931">
        <f t="shared" si="71"/>
        <v>2</v>
      </c>
      <c r="L931">
        <v>30</v>
      </c>
      <c r="M931" t="str">
        <f t="shared" si="72"/>
        <v>30</v>
      </c>
      <c r="N931">
        <v>2</v>
      </c>
      <c r="O931" s="3">
        <f t="shared" si="73"/>
        <v>2</v>
      </c>
      <c r="P931" t="s">
        <v>166</v>
      </c>
      <c r="Q931" t="str" cm="1">
        <f t="array" ref="Q931">_xlfn.IFS(ISBLANK(P931),"Not Specified",OR(P931="N",P931=FALSE,P931="no",P931=0),"no",TRUE,"yes")</f>
        <v>no</v>
      </c>
      <c r="R931" s="5">
        <v>0.96</v>
      </c>
      <c r="S931">
        <f t="shared" si="74"/>
        <v>96</v>
      </c>
    </row>
    <row r="932" spans="1:19">
      <c r="A932" t="s">
        <v>1944</v>
      </c>
      <c r="B932" t="s">
        <v>1945</v>
      </c>
      <c r="C932" t="s">
        <v>84</v>
      </c>
      <c r="D932" t="str" cm="1">
        <f t="array" ref="D932">_xlfn.IFS(OR(LOWER(C932)="f",LOWER(C932)="female"),"Female",TRUE,"Male")</f>
        <v>Female</v>
      </c>
      <c r="E932">
        <v>38</v>
      </c>
      <c r="F932">
        <f t="shared" si="70"/>
        <v>38</v>
      </c>
      <c r="G932" t="s">
        <v>69</v>
      </c>
      <c r="H932" t="s">
        <v>70</v>
      </c>
      <c r="I932" t="s">
        <v>42</v>
      </c>
      <c r="J932">
        <v>14</v>
      </c>
      <c r="K932">
        <f t="shared" si="71"/>
        <v>14</v>
      </c>
      <c r="L932">
        <v>100</v>
      </c>
      <c r="M932" t="str">
        <f t="shared" si="72"/>
        <v>100</v>
      </c>
      <c r="N932">
        <v>1.7</v>
      </c>
      <c r="O932" s="3">
        <f t="shared" si="73"/>
        <v>1.7</v>
      </c>
      <c r="P932" t="b">
        <v>0</v>
      </c>
      <c r="Q932" t="str" cm="1">
        <f t="array" ref="Q932">_xlfn.IFS(ISBLANK(P932),"Not Specified",OR(P932="N",P932=FALSE,P932="no",P932=0),"no",TRUE,"yes")</f>
        <v>no</v>
      </c>
      <c r="R932" s="5">
        <v>0.66</v>
      </c>
      <c r="S932">
        <f t="shared" si="74"/>
        <v>66</v>
      </c>
    </row>
    <row r="933" spans="1:19">
      <c r="A933" t="s">
        <v>1946</v>
      </c>
      <c r="B933" t="s">
        <v>1947</v>
      </c>
      <c r="C933" t="s">
        <v>34</v>
      </c>
      <c r="D933" t="str" cm="1">
        <f t="array" ref="D933">_xlfn.IFS(OR(LOWER(C933)="f",LOWER(C933)="female"),"Female",TRUE,"Male")</f>
        <v>Male</v>
      </c>
      <c r="E933">
        <v>21</v>
      </c>
      <c r="F933">
        <f t="shared" si="70"/>
        <v>21</v>
      </c>
      <c r="G933" t="s">
        <v>135</v>
      </c>
      <c r="H933" t="s">
        <v>29</v>
      </c>
      <c r="I933" t="s">
        <v>37</v>
      </c>
      <c r="J933">
        <v>0</v>
      </c>
      <c r="K933">
        <f t="shared" si="71"/>
        <v>0</v>
      </c>
      <c r="L933" t="s">
        <v>31</v>
      </c>
      <c r="M933" t="str">
        <f t="shared" si="72"/>
        <v> 100</v>
      </c>
      <c r="N933">
        <v>3</v>
      </c>
      <c r="O933" s="3">
        <f t="shared" si="73"/>
        <v>3</v>
      </c>
      <c r="P933" t="s">
        <v>38</v>
      </c>
      <c r="Q933" t="str" cm="1">
        <f t="array" ref="Q933">_xlfn.IFS(ISBLANK(P933),"Not Specified",OR(P933="N",P933=FALSE,P933="no",P933=0),"no",TRUE,"yes")</f>
        <v>no</v>
      </c>
      <c r="R933" s="5">
        <v>0.64</v>
      </c>
      <c r="S933">
        <f t="shared" si="74"/>
        <v>64</v>
      </c>
    </row>
    <row r="934" spans="1:19">
      <c r="A934" t="s">
        <v>1948</v>
      </c>
      <c r="B934" t="s">
        <v>1949</v>
      </c>
      <c r="C934" t="s">
        <v>68</v>
      </c>
      <c r="D934" t="str" cm="1">
        <f t="array" ref="D934">_xlfn.IFS(OR(LOWER(C934)="f",LOWER(C934)="female"),"Female",TRUE,"Male")</f>
        <v>Male</v>
      </c>
      <c r="E934">
        <v>41</v>
      </c>
      <c r="F934">
        <f t="shared" si="70"/>
        <v>41</v>
      </c>
      <c r="G934" t="s">
        <v>28</v>
      </c>
      <c r="H934" t="s">
        <v>29</v>
      </c>
      <c r="I934" t="s">
        <v>51</v>
      </c>
      <c r="J934">
        <v>15</v>
      </c>
      <c r="K934">
        <f t="shared" si="71"/>
        <v>15</v>
      </c>
      <c r="L934">
        <v>40</v>
      </c>
      <c r="M934" t="str">
        <f t="shared" si="72"/>
        <v>40</v>
      </c>
      <c r="N934">
        <v>3.4</v>
      </c>
      <c r="O934" s="3">
        <f t="shared" si="73"/>
        <v>3.4</v>
      </c>
      <c r="P934" t="b">
        <v>0</v>
      </c>
      <c r="Q934" t="str" cm="1">
        <f t="array" ref="Q934">_xlfn.IFS(ISBLANK(P934),"Not Specified",OR(P934="N",P934=FALSE,P934="no",P934=0),"no",TRUE,"yes")</f>
        <v>no</v>
      </c>
      <c r="R934" s="5">
        <v>1</v>
      </c>
      <c r="S934">
        <f t="shared" si="74"/>
        <v>100</v>
      </c>
    </row>
    <row r="935" spans="1:19">
      <c r="A935" t="s">
        <v>1950</v>
      </c>
      <c r="B935" t="s">
        <v>1951</v>
      </c>
      <c r="C935" t="s">
        <v>46</v>
      </c>
      <c r="D935" t="str" cm="1">
        <f t="array" ref="D935">_xlfn.IFS(OR(LOWER(C935)="f",LOWER(C935)="female"),"Female",TRUE,"Male")</f>
        <v>Female</v>
      </c>
      <c r="E935">
        <v>33</v>
      </c>
      <c r="F935">
        <f t="shared" si="70"/>
        <v>33</v>
      </c>
      <c r="G935" t="s">
        <v>56</v>
      </c>
      <c r="H935" t="s">
        <v>57</v>
      </c>
      <c r="I935" t="s">
        <v>24</v>
      </c>
      <c r="J935">
        <v>6</v>
      </c>
      <c r="K935">
        <f t="shared" si="71"/>
        <v>6</v>
      </c>
      <c r="L935">
        <v>40</v>
      </c>
      <c r="M935" t="str">
        <f t="shared" si="72"/>
        <v>40</v>
      </c>
      <c r="N935">
        <v>3.2</v>
      </c>
      <c r="O935" s="3">
        <f t="shared" si="73"/>
        <v>3.2</v>
      </c>
      <c r="P935">
        <v>1</v>
      </c>
      <c r="Q935" t="str" cm="1">
        <f t="array" ref="Q935">_xlfn.IFS(ISBLANK(P935),"Not Specified",OR(P935="N",P935=FALSE,P935="no",P935=0),"no",TRUE,"yes")</f>
        <v>yes</v>
      </c>
      <c r="R935" s="5">
        <v>0.95</v>
      </c>
      <c r="S935">
        <f t="shared" si="74"/>
        <v>95</v>
      </c>
    </row>
    <row r="936" spans="1:19">
      <c r="A936" t="s">
        <v>1952</v>
      </c>
      <c r="B936" t="s">
        <v>1953</v>
      </c>
      <c r="C936" t="s">
        <v>21</v>
      </c>
      <c r="D936" t="str" cm="1">
        <f t="array" ref="D936">_xlfn.IFS(OR(LOWER(C936)="f",LOWER(C936)="female"),"Female",TRUE,"Male")</f>
        <v>Female</v>
      </c>
      <c r="E936">
        <v>38</v>
      </c>
      <c r="F936">
        <f t="shared" si="70"/>
        <v>38</v>
      </c>
      <c r="G936" t="s">
        <v>186</v>
      </c>
      <c r="H936" t="s">
        <v>79</v>
      </c>
      <c r="I936" t="s">
        <v>30</v>
      </c>
      <c r="J936">
        <v>11</v>
      </c>
      <c r="K936">
        <f t="shared" si="71"/>
        <v>11</v>
      </c>
      <c r="M936" t="str">
        <f t="shared" si="72"/>
        <v>Not Specified</v>
      </c>
      <c r="N936">
        <v>2.8</v>
      </c>
      <c r="O936" s="3">
        <f t="shared" si="73"/>
        <v>2.8</v>
      </c>
      <c r="Q936" t="str" cm="1">
        <f t="array" ref="Q936">_xlfn.IFS(ISBLANK(P936),"Not Specified",OR(P936="N",P936=FALSE,P936="no",P936=0),"no",TRUE,"yes")</f>
        <v>Not Specified</v>
      </c>
      <c r="R936">
        <v>91</v>
      </c>
      <c r="S936">
        <f t="shared" si="74"/>
        <v>91</v>
      </c>
    </row>
    <row r="937" spans="1:19">
      <c r="A937" t="s">
        <v>1954</v>
      </c>
      <c r="B937" t="s">
        <v>1955</v>
      </c>
      <c r="C937" t="s">
        <v>41</v>
      </c>
      <c r="D937" t="str" cm="1">
        <f t="array" ref="D937">_xlfn.IFS(OR(LOWER(C937)="f",LOWER(C937)="female"),"Female",TRUE,"Male")</f>
        <v>Female</v>
      </c>
      <c r="E937">
        <v>26</v>
      </c>
      <c r="F937">
        <f t="shared" si="70"/>
        <v>26</v>
      </c>
      <c r="G937" t="s">
        <v>131</v>
      </c>
      <c r="H937" t="s">
        <v>132</v>
      </c>
      <c r="I937" t="s">
        <v>96</v>
      </c>
      <c r="J937">
        <v>8</v>
      </c>
      <c r="K937">
        <f t="shared" si="71"/>
        <v>8</v>
      </c>
      <c r="L937" t="s">
        <v>321</v>
      </c>
      <c r="M937" t="str">
        <f t="shared" si="72"/>
        <v> 20</v>
      </c>
      <c r="N937">
        <v>4.1</v>
      </c>
      <c r="O937" s="3">
        <f t="shared" si="73"/>
        <v>4.1</v>
      </c>
      <c r="P937" t="s">
        <v>75</v>
      </c>
      <c r="Q937" t="str" cm="1">
        <f t="array" ref="Q937">_xlfn.IFS(ISBLANK(P937),"Not Specified",OR(P937="N",P937=FALSE,P937="no",P937=0),"no",TRUE,"yes")</f>
        <v>yes</v>
      </c>
      <c r="R937" s="5">
        <v>0.82</v>
      </c>
      <c r="S937">
        <f t="shared" si="74"/>
        <v>82</v>
      </c>
    </row>
    <row r="938" spans="1:19">
      <c r="A938" t="s">
        <v>1956</v>
      </c>
      <c r="B938" t="s">
        <v>1957</v>
      </c>
      <c r="C938" t="s">
        <v>21</v>
      </c>
      <c r="D938" t="str" cm="1">
        <f t="array" ref="D938">_xlfn.IFS(OR(LOWER(C938)="f",LOWER(C938)="female"),"Female",TRUE,"Male")</f>
        <v>Female</v>
      </c>
      <c r="E938">
        <v>43</v>
      </c>
      <c r="F938">
        <f t="shared" si="70"/>
        <v>43</v>
      </c>
      <c r="G938" t="s">
        <v>49</v>
      </c>
      <c r="H938" t="s">
        <v>50</v>
      </c>
      <c r="I938" t="s">
        <v>51</v>
      </c>
      <c r="J938">
        <v>3</v>
      </c>
      <c r="K938">
        <f t="shared" si="71"/>
        <v>3</v>
      </c>
      <c r="L938">
        <v>20</v>
      </c>
      <c r="M938" t="str">
        <f t="shared" si="72"/>
        <v>20</v>
      </c>
      <c r="N938">
        <v>0</v>
      </c>
      <c r="O938" s="3" t="str">
        <f t="shared" si="73"/>
        <v>Not Specified</v>
      </c>
      <c r="P938" t="s">
        <v>81</v>
      </c>
      <c r="Q938" t="str" cm="1">
        <f t="array" ref="Q938">_xlfn.IFS(ISBLANK(P938),"Not Specified",OR(P938="N",P938=FALSE,P938="no",P938=0),"no",TRUE,"yes")</f>
        <v>yes</v>
      </c>
      <c r="R938" s="5">
        <v>0.95</v>
      </c>
      <c r="S938">
        <f t="shared" si="74"/>
        <v>95</v>
      </c>
    </row>
    <row r="939" spans="1:19">
      <c r="A939" t="s">
        <v>1958</v>
      </c>
      <c r="B939" t="s">
        <v>1959</v>
      </c>
      <c r="C939" t="s">
        <v>84</v>
      </c>
      <c r="D939" t="str" cm="1">
        <f t="array" ref="D939">_xlfn.IFS(OR(LOWER(C939)="f",LOWER(C939)="female"),"Female",TRUE,"Male")</f>
        <v>Female</v>
      </c>
      <c r="E939">
        <v>21</v>
      </c>
      <c r="F939">
        <f t="shared" si="70"/>
        <v>21</v>
      </c>
      <c r="G939" t="s">
        <v>22</v>
      </c>
      <c r="H939" t="s">
        <v>23</v>
      </c>
      <c r="I939" t="s">
        <v>85</v>
      </c>
      <c r="J939">
        <v>0</v>
      </c>
      <c r="K939">
        <f t="shared" si="71"/>
        <v>0</v>
      </c>
      <c r="M939" t="str">
        <f t="shared" si="72"/>
        <v>Not Specified</v>
      </c>
      <c r="N939">
        <v>0</v>
      </c>
      <c r="O939" s="3" t="str">
        <f t="shared" si="73"/>
        <v>Not Specified</v>
      </c>
      <c r="P939">
        <v>1</v>
      </c>
      <c r="Q939" t="str" cm="1">
        <f t="array" ref="Q939">_xlfn.IFS(ISBLANK(P939),"Not Specified",OR(P939="N",P939=FALSE,P939="no",P939=0),"no",TRUE,"yes")</f>
        <v>yes</v>
      </c>
      <c r="R939" s="5">
        <v>0.95</v>
      </c>
      <c r="S939">
        <f t="shared" si="74"/>
        <v>95</v>
      </c>
    </row>
    <row r="940" spans="1:19">
      <c r="A940" t="s">
        <v>1960</v>
      </c>
      <c r="B940" t="s">
        <v>1961</v>
      </c>
      <c r="C940" t="s">
        <v>68</v>
      </c>
      <c r="D940" t="str" cm="1">
        <f t="array" ref="D940">_xlfn.IFS(OR(LOWER(C940)="f",LOWER(C940)="female"),"Female",TRUE,"Male")</f>
        <v>Male</v>
      </c>
      <c r="E940">
        <v>47</v>
      </c>
      <c r="F940">
        <f t="shared" si="70"/>
        <v>47</v>
      </c>
      <c r="G940" t="s">
        <v>119</v>
      </c>
      <c r="H940" t="s">
        <v>120</v>
      </c>
      <c r="I940" t="s">
        <v>30</v>
      </c>
      <c r="J940">
        <v>7</v>
      </c>
      <c r="K940">
        <f t="shared" si="71"/>
        <v>7</v>
      </c>
      <c r="L940" t="s">
        <v>116</v>
      </c>
      <c r="M940" t="str">
        <f t="shared" si="72"/>
        <v> 30</v>
      </c>
      <c r="O940" s="3" t="str">
        <f t="shared" si="73"/>
        <v>Not Specified</v>
      </c>
      <c r="Q940" t="str" cm="1">
        <f t="array" ref="Q940">_xlfn.IFS(ISBLANK(P940),"Not Specified",OR(P940="N",P940=FALSE,P940="no",P940=0),"no",TRUE,"yes")</f>
        <v>Not Specified</v>
      </c>
      <c r="R940">
        <v>69</v>
      </c>
      <c r="S940">
        <f t="shared" si="74"/>
        <v>69</v>
      </c>
    </row>
    <row r="941" spans="1:19">
      <c r="A941" t="s">
        <v>1962</v>
      </c>
      <c r="B941" t="s">
        <v>1963</v>
      </c>
      <c r="C941" t="s">
        <v>68</v>
      </c>
      <c r="D941" t="str" cm="1">
        <f t="array" ref="D941">_xlfn.IFS(OR(LOWER(C941)="f",LOWER(C941)="female"),"Female",TRUE,"Male")</f>
        <v>Male</v>
      </c>
      <c r="E941">
        <v>35</v>
      </c>
      <c r="F941">
        <f t="shared" si="70"/>
        <v>35</v>
      </c>
      <c r="G941" t="s">
        <v>197</v>
      </c>
      <c r="H941" t="s">
        <v>79</v>
      </c>
      <c r="I941" t="s">
        <v>37</v>
      </c>
      <c r="J941">
        <v>6</v>
      </c>
      <c r="K941">
        <f t="shared" si="71"/>
        <v>6</v>
      </c>
      <c r="L941">
        <v>40</v>
      </c>
      <c r="M941" t="str">
        <f t="shared" si="72"/>
        <v>40</v>
      </c>
      <c r="O941" s="3" t="str">
        <f t="shared" si="73"/>
        <v>Not Specified</v>
      </c>
      <c r="P941" t="s">
        <v>75</v>
      </c>
      <c r="Q941" t="str" cm="1">
        <f t="array" ref="Q941">_xlfn.IFS(ISBLANK(P941),"Not Specified",OR(P941="N",P941=FALSE,P941="no",P941=0),"no",TRUE,"yes")</f>
        <v>yes</v>
      </c>
      <c r="R941" s="5">
        <v>0.91</v>
      </c>
      <c r="S941">
        <f t="shared" si="74"/>
        <v>91</v>
      </c>
    </row>
    <row r="942" spans="1:19">
      <c r="A942" t="s">
        <v>1964</v>
      </c>
      <c r="B942" t="s">
        <v>1965</v>
      </c>
      <c r="C942" t="s">
        <v>84</v>
      </c>
      <c r="D942" t="str" cm="1">
        <f t="array" ref="D942">_xlfn.IFS(OR(LOWER(C942)="f",LOWER(C942)="female"),"Female",TRUE,"Male")</f>
        <v>Female</v>
      </c>
      <c r="E942">
        <v>37</v>
      </c>
      <c r="F942">
        <f t="shared" si="70"/>
        <v>37</v>
      </c>
      <c r="G942" t="s">
        <v>56</v>
      </c>
      <c r="H942" t="s">
        <v>57</v>
      </c>
      <c r="I942" t="s">
        <v>30</v>
      </c>
      <c r="J942">
        <v>9</v>
      </c>
      <c r="K942">
        <f t="shared" si="71"/>
        <v>9</v>
      </c>
      <c r="L942" t="s">
        <v>52</v>
      </c>
      <c r="M942" t="str">
        <f t="shared" si="72"/>
        <v>30</v>
      </c>
      <c r="N942">
        <v>2.7</v>
      </c>
      <c r="O942" s="3">
        <f t="shared" si="73"/>
        <v>2.7</v>
      </c>
      <c r="P942">
        <v>1</v>
      </c>
      <c r="Q942" t="str" cm="1">
        <f t="array" ref="Q942">_xlfn.IFS(ISBLANK(P942),"Not Specified",OR(P942="N",P942=FALSE,P942="no",P942=0),"no",TRUE,"yes")</f>
        <v>yes</v>
      </c>
      <c r="S942" t="str">
        <f t="shared" si="74"/>
        <v>Not Specified</v>
      </c>
    </row>
    <row r="943" spans="1:19">
      <c r="A943" t="s">
        <v>1966</v>
      </c>
      <c r="B943" t="s">
        <v>1967</v>
      </c>
      <c r="C943" t="s">
        <v>27</v>
      </c>
      <c r="D943" t="str" cm="1">
        <f t="array" ref="D943">_xlfn.IFS(OR(LOWER(C943)="f",LOWER(C943)="female"),"Female",TRUE,"Male")</f>
        <v>Female</v>
      </c>
      <c r="E943">
        <v>38</v>
      </c>
      <c r="F943">
        <f t="shared" si="70"/>
        <v>38</v>
      </c>
      <c r="G943" t="s">
        <v>114</v>
      </c>
      <c r="H943" t="s">
        <v>115</v>
      </c>
      <c r="I943" t="s">
        <v>51</v>
      </c>
      <c r="J943">
        <v>15</v>
      </c>
      <c r="K943">
        <f t="shared" si="71"/>
        <v>15</v>
      </c>
      <c r="L943">
        <v>40</v>
      </c>
      <c r="M943" t="str">
        <f t="shared" si="72"/>
        <v>40</v>
      </c>
      <c r="N943">
        <v>4</v>
      </c>
      <c r="O943" s="3">
        <f t="shared" si="73"/>
        <v>4</v>
      </c>
      <c r="Q943" t="str" cm="1">
        <f t="array" ref="Q943">_xlfn.IFS(ISBLANK(P943),"Not Specified",OR(P943="N",P943=FALSE,P943="no",P943=0),"no",TRUE,"yes")</f>
        <v>Not Specified</v>
      </c>
      <c r="R943" s="5">
        <v>0.62</v>
      </c>
      <c r="S943">
        <f t="shared" si="74"/>
        <v>62</v>
      </c>
    </row>
    <row r="944" spans="1:19">
      <c r="A944" t="s">
        <v>1968</v>
      </c>
      <c r="B944" t="s">
        <v>1969</v>
      </c>
      <c r="C944" t="s">
        <v>68</v>
      </c>
      <c r="D944" t="str" cm="1">
        <f t="array" ref="D944">_xlfn.IFS(OR(LOWER(C944)="f",LOWER(C944)="female"),"Female",TRUE,"Male")</f>
        <v>Male</v>
      </c>
      <c r="E944">
        <v>40</v>
      </c>
      <c r="F944">
        <f t="shared" si="70"/>
        <v>40</v>
      </c>
      <c r="G944" t="s">
        <v>135</v>
      </c>
      <c r="H944" t="s">
        <v>29</v>
      </c>
      <c r="I944" t="s">
        <v>58</v>
      </c>
      <c r="J944">
        <v>20</v>
      </c>
      <c r="K944">
        <f t="shared" si="71"/>
        <v>20</v>
      </c>
      <c r="L944">
        <v>20</v>
      </c>
      <c r="M944" t="str">
        <f t="shared" si="72"/>
        <v>20</v>
      </c>
      <c r="N944">
        <v>2.5</v>
      </c>
      <c r="O944" s="3">
        <f t="shared" si="73"/>
        <v>2.5</v>
      </c>
      <c r="P944">
        <v>0</v>
      </c>
      <c r="Q944" t="str" cm="1">
        <f t="array" ref="Q944">_xlfn.IFS(ISBLANK(P944),"Not Specified",OR(P944="N",P944=FALSE,P944="no",P944=0),"no",TRUE,"yes")</f>
        <v>no</v>
      </c>
      <c r="R944" s="5">
        <v>0.81</v>
      </c>
      <c r="S944">
        <f t="shared" si="74"/>
        <v>81</v>
      </c>
    </row>
    <row r="945" spans="1:19">
      <c r="A945" t="s">
        <v>1970</v>
      </c>
      <c r="B945" t="s">
        <v>1971</v>
      </c>
      <c r="C945" t="s">
        <v>21</v>
      </c>
      <c r="D945" t="str" cm="1">
        <f t="array" ref="D945">_xlfn.IFS(OR(LOWER(C945)="f",LOWER(C945)="female"),"Female",TRUE,"Male")</f>
        <v>Female</v>
      </c>
      <c r="E945">
        <v>46</v>
      </c>
      <c r="F945">
        <f t="shared" si="70"/>
        <v>46</v>
      </c>
      <c r="G945" t="s">
        <v>114</v>
      </c>
      <c r="H945" t="s">
        <v>115</v>
      </c>
      <c r="I945" t="s">
        <v>58</v>
      </c>
      <c r="J945">
        <v>16</v>
      </c>
      <c r="K945">
        <f t="shared" si="71"/>
        <v>16</v>
      </c>
      <c r="L945">
        <v>75</v>
      </c>
      <c r="M945" t="str">
        <f t="shared" si="72"/>
        <v>75</v>
      </c>
      <c r="N945">
        <v>0</v>
      </c>
      <c r="O945" s="3" t="str">
        <f t="shared" si="73"/>
        <v>Not Specified</v>
      </c>
      <c r="P945" t="s">
        <v>166</v>
      </c>
      <c r="Q945" t="str" cm="1">
        <f t="array" ref="Q945">_xlfn.IFS(ISBLANK(P945),"Not Specified",OR(P945="N",P945=FALSE,P945="no",P945=0),"no",TRUE,"yes")</f>
        <v>no</v>
      </c>
      <c r="R945" s="5">
        <v>0.94</v>
      </c>
      <c r="S945">
        <f t="shared" si="74"/>
        <v>94</v>
      </c>
    </row>
    <row r="946" spans="1:19">
      <c r="A946" t="s">
        <v>1972</v>
      </c>
      <c r="B946" t="s">
        <v>1973</v>
      </c>
      <c r="C946" t="s">
        <v>55</v>
      </c>
      <c r="D946" t="str" cm="1">
        <f t="array" ref="D946">_xlfn.IFS(OR(LOWER(C946)="f",LOWER(C946)="female"),"Female",TRUE,"Male")</f>
        <v>Male</v>
      </c>
      <c r="E946">
        <v>56</v>
      </c>
      <c r="F946">
        <f t="shared" si="70"/>
        <v>56</v>
      </c>
      <c r="G946" t="s">
        <v>146</v>
      </c>
      <c r="H946" t="s">
        <v>147</v>
      </c>
      <c r="I946" t="s">
        <v>96</v>
      </c>
      <c r="J946">
        <v>22</v>
      </c>
      <c r="K946">
        <f t="shared" si="71"/>
        <v>22</v>
      </c>
      <c r="L946" t="s">
        <v>116</v>
      </c>
      <c r="M946" t="str">
        <f t="shared" si="72"/>
        <v> 30</v>
      </c>
      <c r="O946" s="3" t="str">
        <f t="shared" si="73"/>
        <v>Not Specified</v>
      </c>
      <c r="P946" t="s">
        <v>166</v>
      </c>
      <c r="Q946" t="str" cm="1">
        <f t="array" ref="Q946">_xlfn.IFS(ISBLANK(P946),"Not Specified",OR(P946="N",P946=FALSE,P946="no",P946=0),"no",TRUE,"yes")</f>
        <v>no</v>
      </c>
      <c r="R946" s="5">
        <v>0.95</v>
      </c>
      <c r="S946">
        <f t="shared" si="74"/>
        <v>95</v>
      </c>
    </row>
    <row r="947" spans="1:19">
      <c r="A947" t="s">
        <v>1974</v>
      </c>
      <c r="B947" t="s">
        <v>1975</v>
      </c>
      <c r="C947" t="s">
        <v>55</v>
      </c>
      <c r="D947" t="str" cm="1">
        <f t="array" ref="D947">_xlfn.IFS(OR(LOWER(C947)="f",LOWER(C947)="female"),"Female",TRUE,"Male")</f>
        <v>Male</v>
      </c>
      <c r="E947">
        <v>24</v>
      </c>
      <c r="F947">
        <f t="shared" si="70"/>
        <v>24</v>
      </c>
      <c r="G947" t="s">
        <v>69</v>
      </c>
      <c r="H947" t="s">
        <v>70</v>
      </c>
      <c r="I947" t="s">
        <v>37</v>
      </c>
      <c r="J947">
        <v>2</v>
      </c>
      <c r="K947">
        <f t="shared" si="71"/>
        <v>2</v>
      </c>
      <c r="M947" t="str">
        <f t="shared" si="72"/>
        <v>Not Specified</v>
      </c>
      <c r="N947">
        <v>1.6</v>
      </c>
      <c r="O947" s="3">
        <f t="shared" si="73"/>
        <v>1.6</v>
      </c>
      <c r="P947" t="s">
        <v>166</v>
      </c>
      <c r="Q947" t="str" cm="1">
        <f t="array" ref="Q947">_xlfn.IFS(ISBLANK(P947),"Not Specified",OR(P947="N",P947=FALSE,P947="no",P947=0),"no",TRUE,"yes")</f>
        <v>no</v>
      </c>
      <c r="R947" s="5">
        <v>1</v>
      </c>
      <c r="S947">
        <f t="shared" si="74"/>
        <v>100</v>
      </c>
    </row>
    <row r="948" spans="1:19">
      <c r="A948" t="s">
        <v>1976</v>
      </c>
      <c r="B948" t="s">
        <v>1977</v>
      </c>
      <c r="C948" t="s">
        <v>99</v>
      </c>
      <c r="D948" t="str" cm="1">
        <f t="array" ref="D948">_xlfn.IFS(OR(LOWER(C948)="f",LOWER(C948)="female"),"Female",TRUE,"Male")</f>
        <v>Male</v>
      </c>
      <c r="F948" t="str">
        <f t="shared" si="70"/>
        <v>Not Specified</v>
      </c>
      <c r="G948" t="s">
        <v>186</v>
      </c>
      <c r="H948" t="s">
        <v>79</v>
      </c>
      <c r="I948" t="s">
        <v>51</v>
      </c>
      <c r="J948">
        <v>1</v>
      </c>
      <c r="K948">
        <f t="shared" si="71"/>
        <v>1</v>
      </c>
      <c r="L948">
        <v>75</v>
      </c>
      <c r="M948" t="str">
        <f t="shared" si="72"/>
        <v>75</v>
      </c>
      <c r="N948">
        <v>0</v>
      </c>
      <c r="O948" s="3" t="str">
        <f t="shared" si="73"/>
        <v>Not Specified</v>
      </c>
      <c r="P948" t="b">
        <v>1</v>
      </c>
      <c r="Q948" t="str" cm="1">
        <f t="array" ref="Q948">_xlfn.IFS(ISBLANK(P948),"Not Specified",OR(P948="N",P948=FALSE,P948="no",P948=0),"no",TRUE,"yes")</f>
        <v>yes</v>
      </c>
      <c r="R948" s="5">
        <v>0.94</v>
      </c>
      <c r="S948">
        <f t="shared" si="74"/>
        <v>94</v>
      </c>
    </row>
    <row r="949" spans="1:19">
      <c r="A949" t="s">
        <v>1978</v>
      </c>
      <c r="B949" t="s">
        <v>1979</v>
      </c>
      <c r="C949" t="s">
        <v>41</v>
      </c>
      <c r="D949" t="str" cm="1">
        <f t="array" ref="D949">_xlfn.IFS(OR(LOWER(C949)="f",LOWER(C949)="female"),"Female",TRUE,"Male")</f>
        <v>Female</v>
      </c>
      <c r="E949">
        <v>38</v>
      </c>
      <c r="F949">
        <f t="shared" si="70"/>
        <v>38</v>
      </c>
      <c r="G949" t="s">
        <v>69</v>
      </c>
      <c r="H949" t="s">
        <v>70</v>
      </c>
      <c r="I949" t="s">
        <v>30</v>
      </c>
      <c r="J949">
        <v>8</v>
      </c>
      <c r="K949">
        <f t="shared" si="71"/>
        <v>8</v>
      </c>
      <c r="L949">
        <v>30</v>
      </c>
      <c r="M949" t="str">
        <f t="shared" si="72"/>
        <v>30</v>
      </c>
      <c r="N949">
        <v>4</v>
      </c>
      <c r="O949" s="3">
        <f t="shared" si="73"/>
        <v>4</v>
      </c>
      <c r="P949">
        <v>1</v>
      </c>
      <c r="Q949" t="str" cm="1">
        <f t="array" ref="Q949">_xlfn.IFS(ISBLANK(P949),"Not Specified",OR(P949="N",P949=FALSE,P949="no",P949=0),"no",TRUE,"yes")</f>
        <v>yes</v>
      </c>
      <c r="R949" s="5">
        <v>0.92</v>
      </c>
      <c r="S949">
        <f t="shared" si="74"/>
        <v>92</v>
      </c>
    </row>
    <row r="950" spans="1:19">
      <c r="A950" t="s">
        <v>1980</v>
      </c>
      <c r="B950" t="s">
        <v>1981</v>
      </c>
      <c r="C950" t="s">
        <v>84</v>
      </c>
      <c r="D950" t="str" cm="1">
        <f t="array" ref="D950">_xlfn.IFS(OR(LOWER(C950)="f",LOWER(C950)="female"),"Female",TRUE,"Male")</f>
        <v>Female</v>
      </c>
      <c r="E950">
        <v>28</v>
      </c>
      <c r="F950">
        <f t="shared" si="70"/>
        <v>28</v>
      </c>
      <c r="G950" t="s">
        <v>142</v>
      </c>
      <c r="H950" t="s">
        <v>143</v>
      </c>
      <c r="I950" t="s">
        <v>96</v>
      </c>
      <c r="J950">
        <v>8</v>
      </c>
      <c r="K950">
        <f t="shared" si="71"/>
        <v>8</v>
      </c>
      <c r="L950" t="s">
        <v>105</v>
      </c>
      <c r="M950" t="str">
        <f t="shared" si="72"/>
        <v> 50</v>
      </c>
      <c r="N950">
        <v>2.5</v>
      </c>
      <c r="O950" s="3">
        <f t="shared" si="73"/>
        <v>2.5</v>
      </c>
      <c r="P950" t="b">
        <v>1</v>
      </c>
      <c r="Q950" t="str" cm="1">
        <f t="array" ref="Q950">_xlfn.IFS(ISBLANK(P950),"Not Specified",OR(P950="N",P950=FALSE,P950="no",P950=0),"no",TRUE,"yes")</f>
        <v>yes</v>
      </c>
      <c r="R950" s="5">
        <v>0.95</v>
      </c>
      <c r="S950">
        <f t="shared" si="74"/>
        <v>95</v>
      </c>
    </row>
    <row r="951" spans="1:19">
      <c r="A951" t="s">
        <v>1982</v>
      </c>
      <c r="B951" t="s">
        <v>1983</v>
      </c>
      <c r="C951" t="s">
        <v>55</v>
      </c>
      <c r="D951" t="str" cm="1">
        <f t="array" ref="D951">_xlfn.IFS(OR(LOWER(C951)="f",LOWER(C951)="female"),"Female",TRUE,"Male")</f>
        <v>Male</v>
      </c>
      <c r="E951">
        <v>25</v>
      </c>
      <c r="F951">
        <f t="shared" si="70"/>
        <v>25</v>
      </c>
      <c r="G951" t="s">
        <v>114</v>
      </c>
      <c r="H951" t="s">
        <v>115</v>
      </c>
      <c r="I951" t="s">
        <v>96</v>
      </c>
      <c r="J951">
        <v>7</v>
      </c>
      <c r="K951">
        <f t="shared" si="71"/>
        <v>7</v>
      </c>
      <c r="L951" t="s">
        <v>128</v>
      </c>
      <c r="M951" t="str">
        <f t="shared" si="72"/>
        <v>20</v>
      </c>
      <c r="N951">
        <v>3.8</v>
      </c>
      <c r="O951" s="3">
        <f t="shared" si="73"/>
        <v>3.8</v>
      </c>
      <c r="Q951" t="str" cm="1">
        <f t="array" ref="Q951">_xlfn.IFS(ISBLANK(P951),"Not Specified",OR(P951="N",P951=FALSE,P951="no",P951=0),"no",TRUE,"yes")</f>
        <v>Not Specified</v>
      </c>
      <c r="R951" s="5">
        <v>0.97</v>
      </c>
      <c r="S951">
        <f t="shared" si="74"/>
        <v>97</v>
      </c>
    </row>
    <row r="952" spans="1:19">
      <c r="A952" t="s">
        <v>1984</v>
      </c>
      <c r="B952" t="s">
        <v>1985</v>
      </c>
      <c r="C952" t="s">
        <v>104</v>
      </c>
      <c r="D952" t="str" cm="1">
        <f t="array" ref="D952">_xlfn.IFS(OR(LOWER(C952)="f",LOWER(C952)="female"),"Female",TRUE,"Male")</f>
        <v>Male</v>
      </c>
      <c r="E952">
        <v>41</v>
      </c>
      <c r="F952">
        <f t="shared" si="70"/>
        <v>41</v>
      </c>
      <c r="G952" t="s">
        <v>74</v>
      </c>
      <c r="H952" t="s">
        <v>29</v>
      </c>
      <c r="I952" t="s">
        <v>96</v>
      </c>
      <c r="J952">
        <v>8</v>
      </c>
      <c r="K952">
        <f t="shared" si="71"/>
        <v>8</v>
      </c>
      <c r="L952">
        <v>50</v>
      </c>
      <c r="M952" t="str">
        <f t="shared" si="72"/>
        <v>50</v>
      </c>
      <c r="N952">
        <v>4.8</v>
      </c>
      <c r="O952" s="3">
        <f t="shared" si="73"/>
        <v>4.8</v>
      </c>
      <c r="P952" t="s">
        <v>38</v>
      </c>
      <c r="Q952" t="str" cm="1">
        <f t="array" ref="Q952">_xlfn.IFS(ISBLANK(P952),"Not Specified",OR(P952="N",P952=FALSE,P952="no",P952=0),"no",TRUE,"yes")</f>
        <v>no</v>
      </c>
      <c r="R952" s="5">
        <v>0.75</v>
      </c>
      <c r="S952">
        <f t="shared" si="74"/>
        <v>75</v>
      </c>
    </row>
    <row r="953" spans="1:19">
      <c r="A953" t="s">
        <v>1986</v>
      </c>
      <c r="B953" t="s">
        <v>1987</v>
      </c>
      <c r="C953" t="s">
        <v>21</v>
      </c>
      <c r="D953" t="str" cm="1">
        <f t="array" ref="D953">_xlfn.IFS(OR(LOWER(C953)="f",LOWER(C953)="female"),"Female",TRUE,"Male")</f>
        <v>Female</v>
      </c>
      <c r="E953">
        <v>45</v>
      </c>
      <c r="F953">
        <f t="shared" si="70"/>
        <v>45</v>
      </c>
      <c r="G953" t="s">
        <v>186</v>
      </c>
      <c r="H953" t="s">
        <v>79</v>
      </c>
      <c r="I953" t="s">
        <v>58</v>
      </c>
      <c r="J953">
        <v>6</v>
      </c>
      <c r="K953">
        <f t="shared" si="71"/>
        <v>6</v>
      </c>
      <c r="L953">
        <v>40</v>
      </c>
      <c r="M953" t="str">
        <f t="shared" si="72"/>
        <v>40</v>
      </c>
      <c r="N953">
        <v>2</v>
      </c>
      <c r="O953" s="3">
        <f t="shared" si="73"/>
        <v>2</v>
      </c>
      <c r="P953">
        <v>1</v>
      </c>
      <c r="Q953" t="str" cm="1">
        <f t="array" ref="Q953">_xlfn.IFS(ISBLANK(P953),"Not Specified",OR(P953="N",P953=FALSE,P953="no",P953=0),"no",TRUE,"yes")</f>
        <v>yes</v>
      </c>
      <c r="R953" s="5">
        <v>0.78</v>
      </c>
      <c r="S953">
        <f t="shared" si="74"/>
        <v>78</v>
      </c>
    </row>
    <row r="954" spans="1:19">
      <c r="A954" t="s">
        <v>1988</v>
      </c>
      <c r="B954" t="s">
        <v>1989</v>
      </c>
      <c r="C954" t="s">
        <v>55</v>
      </c>
      <c r="D954" t="str" cm="1">
        <f t="array" ref="D954">_xlfn.IFS(OR(LOWER(C954)="f",LOWER(C954)="female"),"Female",TRUE,"Male")</f>
        <v>Male</v>
      </c>
      <c r="E954">
        <v>47</v>
      </c>
      <c r="F954">
        <f t="shared" si="70"/>
        <v>47</v>
      </c>
      <c r="G954" t="s">
        <v>69</v>
      </c>
      <c r="H954" t="s">
        <v>70</v>
      </c>
      <c r="I954" t="s">
        <v>96</v>
      </c>
      <c r="J954">
        <v>16</v>
      </c>
      <c r="K954">
        <f t="shared" si="71"/>
        <v>16</v>
      </c>
      <c r="L954" t="s">
        <v>236</v>
      </c>
      <c r="M954" t="str">
        <f t="shared" si="72"/>
        <v>100</v>
      </c>
      <c r="N954">
        <v>3.3</v>
      </c>
      <c r="O954" s="3">
        <f t="shared" si="73"/>
        <v>3.3</v>
      </c>
      <c r="P954">
        <v>0</v>
      </c>
      <c r="Q954" t="str" cm="1">
        <f t="array" ref="Q954">_xlfn.IFS(ISBLANK(P954),"Not Specified",OR(P954="N",P954=FALSE,P954="no",P954=0),"no",TRUE,"yes")</f>
        <v>no</v>
      </c>
      <c r="R954" s="5">
        <v>0.65</v>
      </c>
      <c r="S954">
        <f t="shared" si="74"/>
        <v>65</v>
      </c>
    </row>
    <row r="955" spans="1:19">
      <c r="A955" t="s">
        <v>1990</v>
      </c>
      <c r="B955" t="s">
        <v>1991</v>
      </c>
      <c r="C955" t="s">
        <v>41</v>
      </c>
      <c r="D955" t="str" cm="1">
        <f t="array" ref="D955">_xlfn.IFS(OR(LOWER(C955)="f",LOWER(C955)="female"),"Female",TRUE,"Male")</f>
        <v>Female</v>
      </c>
      <c r="E955">
        <v>59</v>
      </c>
      <c r="F955">
        <f t="shared" si="70"/>
        <v>59</v>
      </c>
      <c r="G955" t="s">
        <v>74</v>
      </c>
      <c r="H955" t="s">
        <v>29</v>
      </c>
      <c r="I955" t="s">
        <v>58</v>
      </c>
      <c r="J955">
        <v>40</v>
      </c>
      <c r="K955">
        <f t="shared" si="71"/>
        <v>40</v>
      </c>
      <c r="L955">
        <v>40</v>
      </c>
      <c r="M955" t="str">
        <f t="shared" si="72"/>
        <v>40</v>
      </c>
      <c r="N955">
        <v>2.5</v>
      </c>
      <c r="O955" s="3">
        <f t="shared" si="73"/>
        <v>2.5</v>
      </c>
      <c r="P955" t="b">
        <v>1</v>
      </c>
      <c r="Q955" t="str" cm="1">
        <f t="array" ref="Q955">_xlfn.IFS(ISBLANK(P955),"Not Specified",OR(P955="N",P955=FALSE,P955="no",P955=0),"no",TRUE,"yes")</f>
        <v>yes</v>
      </c>
      <c r="R955">
        <v>70</v>
      </c>
      <c r="S955">
        <f t="shared" si="74"/>
        <v>70</v>
      </c>
    </row>
    <row r="956" spans="1:19">
      <c r="A956" t="s">
        <v>1992</v>
      </c>
      <c r="B956" t="s">
        <v>1993</v>
      </c>
      <c r="C956" t="s">
        <v>84</v>
      </c>
      <c r="D956" t="str" cm="1">
        <f t="array" ref="D956">_xlfn.IFS(OR(LOWER(C956)="f",LOWER(C956)="female"),"Female",TRUE,"Male")</f>
        <v>Female</v>
      </c>
      <c r="E956">
        <v>25</v>
      </c>
      <c r="F956">
        <f t="shared" si="70"/>
        <v>25</v>
      </c>
      <c r="G956" t="s">
        <v>135</v>
      </c>
      <c r="H956" t="s">
        <v>29</v>
      </c>
      <c r="I956" t="s">
        <v>24</v>
      </c>
      <c r="J956">
        <v>6</v>
      </c>
      <c r="K956">
        <f t="shared" si="71"/>
        <v>6</v>
      </c>
      <c r="L956" t="s">
        <v>236</v>
      </c>
      <c r="M956" t="str">
        <f t="shared" si="72"/>
        <v>100</v>
      </c>
      <c r="O956" s="3" t="str">
        <f t="shared" si="73"/>
        <v>Not Specified</v>
      </c>
      <c r="P956" t="s">
        <v>81</v>
      </c>
      <c r="Q956" t="str" cm="1">
        <f t="array" ref="Q956">_xlfn.IFS(ISBLANK(P956),"Not Specified",OR(P956="N",P956=FALSE,P956="no",P956=0),"no",TRUE,"yes")</f>
        <v>yes</v>
      </c>
      <c r="R956">
        <v>78</v>
      </c>
      <c r="S956">
        <f t="shared" si="74"/>
        <v>78</v>
      </c>
    </row>
    <row r="957" spans="1:19">
      <c r="A957" t="s">
        <v>1994</v>
      </c>
      <c r="B957" t="s">
        <v>1995</v>
      </c>
      <c r="C957" t="s">
        <v>104</v>
      </c>
      <c r="D957" t="str" cm="1">
        <f t="array" ref="D957">_xlfn.IFS(OR(LOWER(C957)="f",LOWER(C957)="female"),"Female",TRUE,"Male")</f>
        <v>Male</v>
      </c>
      <c r="E957">
        <v>27</v>
      </c>
      <c r="F957">
        <f t="shared" si="70"/>
        <v>27</v>
      </c>
      <c r="G957" t="s">
        <v>28</v>
      </c>
      <c r="H957" t="s">
        <v>29</v>
      </c>
      <c r="I957" t="s">
        <v>42</v>
      </c>
      <c r="J957">
        <v>3</v>
      </c>
      <c r="K957">
        <f t="shared" si="71"/>
        <v>3</v>
      </c>
      <c r="L957" t="s">
        <v>105</v>
      </c>
      <c r="M957" t="str">
        <f t="shared" si="72"/>
        <v> 50</v>
      </c>
      <c r="O957" s="3" t="str">
        <f t="shared" si="73"/>
        <v>Not Specified</v>
      </c>
      <c r="P957">
        <v>1</v>
      </c>
      <c r="Q957" t="str" cm="1">
        <f t="array" ref="Q957">_xlfn.IFS(ISBLANK(P957),"Not Specified",OR(P957="N",P957=FALSE,P957="no",P957=0),"no",TRUE,"yes")</f>
        <v>yes</v>
      </c>
      <c r="R957" s="5">
        <v>0.96</v>
      </c>
      <c r="S957">
        <f t="shared" si="74"/>
        <v>96</v>
      </c>
    </row>
    <row r="958" spans="1:19">
      <c r="A958" t="s">
        <v>1996</v>
      </c>
      <c r="B958" t="s">
        <v>1997</v>
      </c>
      <c r="C958" t="s">
        <v>41</v>
      </c>
      <c r="D958" t="str" cm="1">
        <f t="array" ref="D958">_xlfn.IFS(OR(LOWER(C958)="f",LOWER(C958)="female"),"Female",TRUE,"Male")</f>
        <v>Female</v>
      </c>
      <c r="E958">
        <v>57</v>
      </c>
      <c r="F958">
        <f t="shared" si="70"/>
        <v>57</v>
      </c>
      <c r="G958" t="s">
        <v>28</v>
      </c>
      <c r="H958" t="s">
        <v>29</v>
      </c>
      <c r="I958" t="s">
        <v>51</v>
      </c>
      <c r="J958">
        <v>5</v>
      </c>
      <c r="K958">
        <f t="shared" si="71"/>
        <v>5</v>
      </c>
      <c r="L958" t="s">
        <v>31</v>
      </c>
      <c r="M958" t="str">
        <f t="shared" si="72"/>
        <v> 100</v>
      </c>
      <c r="N958">
        <v>0</v>
      </c>
      <c r="O958" s="3" t="str">
        <f t="shared" si="73"/>
        <v>Not Specified</v>
      </c>
      <c r="P958">
        <v>1</v>
      </c>
      <c r="Q958" t="str" cm="1">
        <f t="array" ref="Q958">_xlfn.IFS(ISBLANK(P958),"Not Specified",OR(P958="N",P958=FALSE,P958="no",P958=0),"no",TRUE,"yes")</f>
        <v>yes</v>
      </c>
      <c r="R958" s="5">
        <v>0.8</v>
      </c>
      <c r="S958">
        <f t="shared" si="74"/>
        <v>80</v>
      </c>
    </row>
    <row r="959" spans="1:19">
      <c r="A959" t="s">
        <v>1998</v>
      </c>
      <c r="B959" t="s">
        <v>1999</v>
      </c>
      <c r="C959" t="s">
        <v>41</v>
      </c>
      <c r="D959" t="str" cm="1">
        <f t="array" ref="D959">_xlfn.IFS(OR(LOWER(C959)="f",LOWER(C959)="female"),"Female",TRUE,"Male")</f>
        <v>Female</v>
      </c>
      <c r="E959">
        <v>34</v>
      </c>
      <c r="F959">
        <f t="shared" si="70"/>
        <v>34</v>
      </c>
      <c r="G959" t="s">
        <v>69</v>
      </c>
      <c r="H959" t="s">
        <v>70</v>
      </c>
      <c r="I959" t="s">
        <v>80</v>
      </c>
      <c r="J959">
        <v>12</v>
      </c>
      <c r="K959">
        <f t="shared" si="71"/>
        <v>12</v>
      </c>
      <c r="L959" t="s">
        <v>128</v>
      </c>
      <c r="M959" t="str">
        <f t="shared" si="72"/>
        <v>20</v>
      </c>
      <c r="N959">
        <v>1.6</v>
      </c>
      <c r="O959" s="3">
        <f t="shared" si="73"/>
        <v>1.6</v>
      </c>
      <c r="P959" t="s">
        <v>75</v>
      </c>
      <c r="Q959" t="str" cm="1">
        <f t="array" ref="Q959">_xlfn.IFS(ISBLANK(P959),"Not Specified",OR(P959="N",P959=FALSE,P959="no",P959=0),"no",TRUE,"yes")</f>
        <v>yes</v>
      </c>
      <c r="R959" s="5">
        <v>0.64</v>
      </c>
      <c r="S959">
        <f t="shared" si="74"/>
        <v>64</v>
      </c>
    </row>
    <row r="960" spans="1:19">
      <c r="A960" t="s">
        <v>2000</v>
      </c>
      <c r="B960" t="s">
        <v>2001</v>
      </c>
      <c r="C960" t="s">
        <v>99</v>
      </c>
      <c r="D960" t="str" cm="1">
        <f t="array" ref="D960">_xlfn.IFS(OR(LOWER(C960)="f",LOWER(C960)="female"),"Female",TRUE,"Male")</f>
        <v>Male</v>
      </c>
      <c r="E960">
        <v>55</v>
      </c>
      <c r="F960">
        <f t="shared" si="70"/>
        <v>55</v>
      </c>
      <c r="G960" t="s">
        <v>142</v>
      </c>
      <c r="H960" t="s">
        <v>143</v>
      </c>
      <c r="I960" t="s">
        <v>80</v>
      </c>
      <c r="J960">
        <v>33</v>
      </c>
      <c r="K960">
        <f t="shared" si="71"/>
        <v>33</v>
      </c>
      <c r="L960">
        <v>50</v>
      </c>
      <c r="M960" t="str">
        <f t="shared" si="72"/>
        <v>50</v>
      </c>
      <c r="N960">
        <v>0</v>
      </c>
      <c r="O960" s="3" t="str">
        <f t="shared" si="73"/>
        <v>Not Specified</v>
      </c>
      <c r="P960" t="b">
        <v>0</v>
      </c>
      <c r="Q960" t="str" cm="1">
        <f t="array" ref="Q960">_xlfn.IFS(ISBLANK(P960),"Not Specified",OR(P960="N",P960=FALSE,P960="no",P960=0),"no",TRUE,"yes")</f>
        <v>no</v>
      </c>
      <c r="R960" s="5">
        <v>0.92</v>
      </c>
      <c r="S960">
        <f t="shared" si="74"/>
        <v>92</v>
      </c>
    </row>
    <row r="961" spans="1:19">
      <c r="A961" t="s">
        <v>2002</v>
      </c>
      <c r="B961" t="s">
        <v>2003</v>
      </c>
      <c r="C961" t="s">
        <v>34</v>
      </c>
      <c r="D961" t="str" cm="1">
        <f t="array" ref="D961">_xlfn.IFS(OR(LOWER(C961)="f",LOWER(C961)="female"),"Female",TRUE,"Male")</f>
        <v>Male</v>
      </c>
      <c r="E961">
        <v>21</v>
      </c>
      <c r="F961">
        <f t="shared" si="70"/>
        <v>21</v>
      </c>
      <c r="G961" t="s">
        <v>146</v>
      </c>
      <c r="H961" t="s">
        <v>147</v>
      </c>
      <c r="I961" t="s">
        <v>24</v>
      </c>
      <c r="J961">
        <v>1</v>
      </c>
      <c r="K961">
        <f t="shared" si="71"/>
        <v>1</v>
      </c>
      <c r="L961">
        <v>100</v>
      </c>
      <c r="M961" t="str">
        <f t="shared" si="72"/>
        <v>100</v>
      </c>
      <c r="N961">
        <v>0</v>
      </c>
      <c r="O961" s="3" t="str">
        <f t="shared" si="73"/>
        <v>Not Specified</v>
      </c>
      <c r="P961">
        <v>1</v>
      </c>
      <c r="Q961" t="str" cm="1">
        <f t="array" ref="Q961">_xlfn.IFS(ISBLANK(P961),"Not Specified",OR(P961="N",P961=FALSE,P961="no",P961=0),"no",TRUE,"yes")</f>
        <v>yes</v>
      </c>
      <c r="S961" t="str">
        <f t="shared" si="74"/>
        <v>Not Specified</v>
      </c>
    </row>
    <row r="962" spans="1:19">
      <c r="A962" t="s">
        <v>2004</v>
      </c>
      <c r="B962" t="s">
        <v>2005</v>
      </c>
      <c r="C962" t="s">
        <v>68</v>
      </c>
      <c r="D962" t="str" cm="1">
        <f t="array" ref="D962">_xlfn.IFS(OR(LOWER(C962)="f",LOWER(C962)="female"),"Female",TRUE,"Male")</f>
        <v>Male</v>
      </c>
      <c r="E962">
        <v>53</v>
      </c>
      <c r="F962">
        <f t="shared" si="70"/>
        <v>53</v>
      </c>
      <c r="G962" t="s">
        <v>49</v>
      </c>
      <c r="H962" t="s">
        <v>50</v>
      </c>
      <c r="I962" t="s">
        <v>96</v>
      </c>
      <c r="J962">
        <v>27</v>
      </c>
      <c r="K962">
        <f t="shared" si="71"/>
        <v>27</v>
      </c>
      <c r="L962" t="s">
        <v>321</v>
      </c>
      <c r="M962" t="str">
        <f t="shared" si="72"/>
        <v> 20</v>
      </c>
      <c r="N962">
        <v>4.7</v>
      </c>
      <c r="O962" s="3">
        <f t="shared" si="73"/>
        <v>4.7</v>
      </c>
      <c r="P962" t="s">
        <v>75</v>
      </c>
      <c r="Q962" t="str" cm="1">
        <f t="array" ref="Q962">_xlfn.IFS(ISBLANK(P962),"Not Specified",OR(P962="N",P962=FALSE,P962="no",P962=0),"no",TRUE,"yes")</f>
        <v>yes</v>
      </c>
      <c r="R962">
        <v>71</v>
      </c>
      <c r="S962">
        <f t="shared" si="74"/>
        <v>71</v>
      </c>
    </row>
    <row r="963" spans="1:19">
      <c r="A963" t="s">
        <v>2006</v>
      </c>
      <c r="B963" t="s">
        <v>2007</v>
      </c>
      <c r="C963" t="s">
        <v>21</v>
      </c>
      <c r="D963" t="str" cm="1">
        <f t="array" ref="D963">_xlfn.IFS(OR(LOWER(C963)="f",LOWER(C963)="female"),"Female",TRUE,"Male")</f>
        <v>Female</v>
      </c>
      <c r="E963">
        <v>21</v>
      </c>
      <c r="F963">
        <f t="shared" ref="F963:F1001" si="75">IF(ISNUMBER(E963),E963,"Not Specified")</f>
        <v>21</v>
      </c>
      <c r="G963" t="s">
        <v>35</v>
      </c>
      <c r="H963" t="s">
        <v>36</v>
      </c>
      <c r="I963" t="s">
        <v>80</v>
      </c>
      <c r="J963">
        <v>1</v>
      </c>
      <c r="K963">
        <f t="shared" ref="K963:K1001" si="76">IF(ISNUMBER(J963),J963,"Not Specified")</f>
        <v>1</v>
      </c>
      <c r="L963" t="s">
        <v>236</v>
      </c>
      <c r="M963" t="str">
        <f t="shared" ref="M963:M1001" si="77">IF(SUBSTITUTE(SUBSTITUTE(L963,"USD",""),"$","")="","Not Specified",SUBSTITUTE(SUBSTITUTE(L963,"USD",""),"$",""))</f>
        <v>100</v>
      </c>
      <c r="N963">
        <v>0</v>
      </c>
      <c r="O963" s="3" t="str">
        <f t="shared" ref="O963:O1001" si="78">IF(OR(N963="",N963=0),"Not Specified",N963)</f>
        <v>Not Specified</v>
      </c>
      <c r="P963" t="s">
        <v>75</v>
      </c>
      <c r="Q963" t="str" cm="1">
        <f t="array" ref="Q963">_xlfn.IFS(ISBLANK(P963),"Not Specified",OR(P963="N",P963=FALSE,P963="no",P963=0),"no",TRUE,"yes")</f>
        <v>yes</v>
      </c>
      <c r="R963" s="5">
        <v>0.95</v>
      </c>
      <c r="S963">
        <f t="shared" ref="S963:S1001" si="79">IF(ISBLANK(R963),"Not Specified",IF(R963&lt;=1,R963*100,R963))</f>
        <v>95</v>
      </c>
    </row>
    <row r="964" spans="1:19">
      <c r="A964" t="s">
        <v>2008</v>
      </c>
      <c r="B964" t="s">
        <v>2009</v>
      </c>
      <c r="C964" t="s">
        <v>27</v>
      </c>
      <c r="D964" t="str" cm="1">
        <f t="array" ref="D964">_xlfn.IFS(OR(LOWER(C964)="f",LOWER(C964)="female"),"Female",TRUE,"Male")</f>
        <v>Female</v>
      </c>
      <c r="E964">
        <v>36</v>
      </c>
      <c r="F964">
        <f t="shared" si="75"/>
        <v>36</v>
      </c>
      <c r="G964" t="s">
        <v>114</v>
      </c>
      <c r="H964" t="s">
        <v>115</v>
      </c>
      <c r="I964" t="s">
        <v>42</v>
      </c>
      <c r="K964" t="str">
        <f t="shared" si="76"/>
        <v>Not Specified</v>
      </c>
      <c r="L964">
        <v>20</v>
      </c>
      <c r="M964" t="str">
        <f t="shared" si="77"/>
        <v>20</v>
      </c>
      <c r="N964">
        <v>4.1</v>
      </c>
      <c r="O964" s="3">
        <f t="shared" si="78"/>
        <v>4.1</v>
      </c>
      <c r="P964" t="s">
        <v>38</v>
      </c>
      <c r="Q964" t="str" cm="1">
        <f t="array" ref="Q964">_xlfn.IFS(ISBLANK(P964),"Not Specified",OR(P964="N",P964=FALSE,P964="no",P964=0),"no",TRUE,"yes")</f>
        <v>no</v>
      </c>
      <c r="R964" s="5">
        <v>0.86</v>
      </c>
      <c r="S964">
        <f t="shared" si="79"/>
        <v>86</v>
      </c>
    </row>
    <row r="965" spans="1:19">
      <c r="A965" t="s">
        <v>2010</v>
      </c>
      <c r="B965" t="s">
        <v>2011</v>
      </c>
      <c r="C965" t="s">
        <v>34</v>
      </c>
      <c r="D965" t="str" cm="1">
        <f t="array" ref="D965">_xlfn.IFS(OR(LOWER(C965)="f",LOWER(C965)="female"),"Female",TRUE,"Male")</f>
        <v>Male</v>
      </c>
      <c r="E965">
        <v>40</v>
      </c>
      <c r="F965">
        <f t="shared" si="75"/>
        <v>40</v>
      </c>
      <c r="G965" t="s">
        <v>35</v>
      </c>
      <c r="H965" t="s">
        <v>36</v>
      </c>
      <c r="I965" t="s">
        <v>51</v>
      </c>
      <c r="J965">
        <v>2</v>
      </c>
      <c r="K965">
        <f t="shared" si="76"/>
        <v>2</v>
      </c>
      <c r="L965" t="s">
        <v>52</v>
      </c>
      <c r="M965" t="str">
        <f t="shared" si="77"/>
        <v>30</v>
      </c>
      <c r="N965">
        <v>1.3</v>
      </c>
      <c r="O965" s="3">
        <f t="shared" si="78"/>
        <v>1.3</v>
      </c>
      <c r="P965">
        <v>1</v>
      </c>
      <c r="Q965" t="str" cm="1">
        <f t="array" ref="Q965">_xlfn.IFS(ISBLANK(P965),"Not Specified",OR(P965="N",P965=FALSE,P965="no",P965=0),"no",TRUE,"yes")</f>
        <v>yes</v>
      </c>
      <c r="R965" s="5">
        <v>0.77</v>
      </c>
      <c r="S965">
        <f t="shared" si="79"/>
        <v>77</v>
      </c>
    </row>
    <row r="966" spans="1:19">
      <c r="A966" t="s">
        <v>2012</v>
      </c>
      <c r="B966" t="s">
        <v>2013</v>
      </c>
      <c r="C966" t="s">
        <v>84</v>
      </c>
      <c r="D966" t="str" cm="1">
        <f t="array" ref="D966">_xlfn.IFS(OR(LOWER(C966)="f",LOWER(C966)="female"),"Female",TRUE,"Male")</f>
        <v>Female</v>
      </c>
      <c r="E966">
        <v>59</v>
      </c>
      <c r="F966">
        <f t="shared" si="75"/>
        <v>59</v>
      </c>
      <c r="G966" t="s">
        <v>74</v>
      </c>
      <c r="H966" t="s">
        <v>29</v>
      </c>
      <c r="I966" t="s">
        <v>80</v>
      </c>
      <c r="J966">
        <v>40</v>
      </c>
      <c r="K966">
        <f t="shared" si="76"/>
        <v>40</v>
      </c>
      <c r="L966">
        <v>100</v>
      </c>
      <c r="M966" t="str">
        <f t="shared" si="77"/>
        <v>100</v>
      </c>
      <c r="N966">
        <v>2.6</v>
      </c>
      <c r="O966" s="3">
        <f t="shared" si="78"/>
        <v>2.6</v>
      </c>
      <c r="Q966" t="str" cm="1">
        <f t="array" ref="Q966">_xlfn.IFS(ISBLANK(P966),"Not Specified",OR(P966="N",P966=FALSE,P966="no",P966=0),"no",TRUE,"yes")</f>
        <v>Not Specified</v>
      </c>
      <c r="S966" t="str">
        <f t="shared" si="79"/>
        <v>Not Specified</v>
      </c>
    </row>
    <row r="967" spans="1:19">
      <c r="A967" t="s">
        <v>2014</v>
      </c>
      <c r="B967" t="s">
        <v>2015</v>
      </c>
      <c r="C967" t="s">
        <v>55</v>
      </c>
      <c r="D967" t="str" cm="1">
        <f t="array" ref="D967">_xlfn.IFS(OR(LOWER(C967)="f",LOWER(C967)="female"),"Female",TRUE,"Male")</f>
        <v>Male</v>
      </c>
      <c r="E967">
        <v>45</v>
      </c>
      <c r="F967">
        <f t="shared" si="75"/>
        <v>45</v>
      </c>
      <c r="G967" t="s">
        <v>49</v>
      </c>
      <c r="H967" t="s">
        <v>50</v>
      </c>
      <c r="I967" t="s">
        <v>85</v>
      </c>
      <c r="J967">
        <v>4</v>
      </c>
      <c r="K967">
        <f t="shared" si="76"/>
        <v>4</v>
      </c>
      <c r="L967" t="s">
        <v>128</v>
      </c>
      <c r="M967" t="str">
        <f t="shared" si="77"/>
        <v>20</v>
      </c>
      <c r="N967">
        <v>2.7</v>
      </c>
      <c r="O967" s="3">
        <f t="shared" si="78"/>
        <v>2.7</v>
      </c>
      <c r="Q967" t="str" cm="1">
        <f t="array" ref="Q967">_xlfn.IFS(ISBLANK(P967),"Not Specified",OR(P967="N",P967=FALSE,P967="no",P967=0),"no",TRUE,"yes")</f>
        <v>Not Specified</v>
      </c>
      <c r="R967" s="5">
        <v>0.72</v>
      </c>
      <c r="S967">
        <f t="shared" si="79"/>
        <v>72</v>
      </c>
    </row>
    <row r="968" spans="1:19">
      <c r="A968" t="s">
        <v>2016</v>
      </c>
      <c r="B968" t="s">
        <v>2017</v>
      </c>
      <c r="C968" t="s">
        <v>68</v>
      </c>
      <c r="D968" t="str" cm="1">
        <f t="array" ref="D968">_xlfn.IFS(OR(LOWER(C968)="f",LOWER(C968)="female"),"Female",TRUE,"Male")</f>
        <v>Male</v>
      </c>
      <c r="E968">
        <v>44</v>
      </c>
      <c r="F968">
        <f t="shared" si="75"/>
        <v>44</v>
      </c>
      <c r="G968" t="s">
        <v>119</v>
      </c>
      <c r="H968" t="s">
        <v>120</v>
      </c>
      <c r="I968" t="s">
        <v>121</v>
      </c>
      <c r="J968">
        <v>9</v>
      </c>
      <c r="K968">
        <f t="shared" si="76"/>
        <v>9</v>
      </c>
      <c r="L968">
        <v>40</v>
      </c>
      <c r="M968" t="str">
        <f t="shared" si="77"/>
        <v>40</v>
      </c>
      <c r="O968" s="3" t="str">
        <f t="shared" si="78"/>
        <v>Not Specified</v>
      </c>
      <c r="P968">
        <v>0</v>
      </c>
      <c r="Q968" t="str" cm="1">
        <f t="array" ref="Q968">_xlfn.IFS(ISBLANK(P968),"Not Specified",OR(P968="N",P968=FALSE,P968="no",P968=0),"no",TRUE,"yes")</f>
        <v>no</v>
      </c>
      <c r="R968" s="5">
        <v>0.7</v>
      </c>
      <c r="S968">
        <f t="shared" si="79"/>
        <v>70</v>
      </c>
    </row>
    <row r="969" spans="1:19">
      <c r="A969" t="s">
        <v>2018</v>
      </c>
      <c r="B969" t="s">
        <v>2019</v>
      </c>
      <c r="C969" t="s">
        <v>27</v>
      </c>
      <c r="D969" t="str" cm="1">
        <f t="array" ref="D969">_xlfn.IFS(OR(LOWER(C969)="f",LOWER(C969)="female"),"Female",TRUE,"Male")</f>
        <v>Female</v>
      </c>
      <c r="E969">
        <v>36</v>
      </c>
      <c r="F969">
        <f t="shared" si="75"/>
        <v>36</v>
      </c>
      <c r="G969" t="s">
        <v>74</v>
      </c>
      <c r="H969" t="s">
        <v>29</v>
      </c>
      <c r="I969" t="s">
        <v>85</v>
      </c>
      <c r="J969">
        <v>13</v>
      </c>
      <c r="K969">
        <f t="shared" si="76"/>
        <v>13</v>
      </c>
      <c r="L969">
        <v>30</v>
      </c>
      <c r="M969" t="str">
        <f t="shared" si="77"/>
        <v>30</v>
      </c>
      <c r="N969">
        <v>3.6</v>
      </c>
      <c r="O969" s="3">
        <f t="shared" si="78"/>
        <v>3.6</v>
      </c>
      <c r="P969">
        <v>0</v>
      </c>
      <c r="Q969" t="str" cm="1">
        <f t="array" ref="Q969">_xlfn.IFS(ISBLANK(P969),"Not Specified",OR(P969="N",P969=FALSE,P969="no",P969=0),"no",TRUE,"yes")</f>
        <v>no</v>
      </c>
      <c r="R969" s="5">
        <v>0.86</v>
      </c>
      <c r="S969">
        <f t="shared" si="79"/>
        <v>86</v>
      </c>
    </row>
    <row r="970" spans="1:19">
      <c r="A970" t="s">
        <v>2020</v>
      </c>
      <c r="B970" t="s">
        <v>2021</v>
      </c>
      <c r="C970" t="s">
        <v>84</v>
      </c>
      <c r="D970" t="str" cm="1">
        <f t="array" ref="D970">_xlfn.IFS(OR(LOWER(C970)="f",LOWER(C970)="female"),"Female",TRUE,"Male")</f>
        <v>Female</v>
      </c>
      <c r="E970">
        <v>26</v>
      </c>
      <c r="F970">
        <f t="shared" si="75"/>
        <v>26</v>
      </c>
      <c r="G970" t="s">
        <v>100</v>
      </c>
      <c r="H970" t="s">
        <v>101</v>
      </c>
      <c r="I970" t="s">
        <v>37</v>
      </c>
      <c r="J970">
        <v>1</v>
      </c>
      <c r="K970">
        <f t="shared" si="76"/>
        <v>1</v>
      </c>
      <c r="L970">
        <v>75</v>
      </c>
      <c r="M970" t="str">
        <f t="shared" si="77"/>
        <v>75</v>
      </c>
      <c r="N970">
        <v>3</v>
      </c>
      <c r="O970" s="3">
        <f t="shared" si="78"/>
        <v>3</v>
      </c>
      <c r="P970">
        <v>1</v>
      </c>
      <c r="Q970" t="str" cm="1">
        <f t="array" ref="Q970">_xlfn.IFS(ISBLANK(P970),"Not Specified",OR(P970="N",P970=FALSE,P970="no",P970=0),"no",TRUE,"yes")</f>
        <v>yes</v>
      </c>
      <c r="S970" t="str">
        <f t="shared" si="79"/>
        <v>Not Specified</v>
      </c>
    </row>
    <row r="971" spans="1:19">
      <c r="A971" t="s">
        <v>2022</v>
      </c>
      <c r="B971" t="s">
        <v>2023</v>
      </c>
      <c r="C971" t="s">
        <v>55</v>
      </c>
      <c r="D971" t="str" cm="1">
        <f t="array" ref="D971">_xlfn.IFS(OR(LOWER(C971)="f",LOWER(C971)="female"),"Female",TRUE,"Male")</f>
        <v>Male</v>
      </c>
      <c r="E971">
        <v>49</v>
      </c>
      <c r="F971">
        <f t="shared" si="75"/>
        <v>49</v>
      </c>
      <c r="G971" t="s">
        <v>100</v>
      </c>
      <c r="H971" t="s">
        <v>101</v>
      </c>
      <c r="I971" t="s">
        <v>42</v>
      </c>
      <c r="J971">
        <v>1</v>
      </c>
      <c r="K971">
        <f t="shared" si="76"/>
        <v>1</v>
      </c>
      <c r="M971" t="str">
        <f t="shared" si="77"/>
        <v>Not Specified</v>
      </c>
      <c r="N971">
        <v>0</v>
      </c>
      <c r="O971" s="3" t="str">
        <f t="shared" si="78"/>
        <v>Not Specified</v>
      </c>
      <c r="P971">
        <v>0</v>
      </c>
      <c r="Q971" t="str" cm="1">
        <f t="array" ref="Q971">_xlfn.IFS(ISBLANK(P971),"Not Specified",OR(P971="N",P971=FALSE,P971="no",P971=0),"no",TRUE,"yes")</f>
        <v>no</v>
      </c>
      <c r="R971" s="5">
        <v>0.82</v>
      </c>
      <c r="S971">
        <f t="shared" si="79"/>
        <v>82</v>
      </c>
    </row>
    <row r="972" spans="1:19">
      <c r="A972" t="s">
        <v>2024</v>
      </c>
      <c r="B972" t="s">
        <v>2025</v>
      </c>
      <c r="C972" t="s">
        <v>55</v>
      </c>
      <c r="D972" t="str" cm="1">
        <f t="array" ref="D972">_xlfn.IFS(OR(LOWER(C972)="f",LOWER(C972)="female"),"Female",TRUE,"Male")</f>
        <v>Male</v>
      </c>
      <c r="E972">
        <v>29</v>
      </c>
      <c r="F972">
        <f t="shared" si="75"/>
        <v>29</v>
      </c>
      <c r="G972" t="s">
        <v>142</v>
      </c>
      <c r="H972" t="s">
        <v>143</v>
      </c>
      <c r="I972" t="s">
        <v>30</v>
      </c>
      <c r="J972">
        <v>3</v>
      </c>
      <c r="K972">
        <f t="shared" si="76"/>
        <v>3</v>
      </c>
      <c r="L972" t="s">
        <v>62</v>
      </c>
      <c r="M972" t="str">
        <f t="shared" si="77"/>
        <v> 40</v>
      </c>
      <c r="N972">
        <v>0</v>
      </c>
      <c r="O972" s="3" t="str">
        <f t="shared" si="78"/>
        <v>Not Specified</v>
      </c>
      <c r="P972" t="b">
        <v>1</v>
      </c>
      <c r="Q972" t="str" cm="1">
        <f t="array" ref="Q972">_xlfn.IFS(ISBLANK(P972),"Not Specified",OR(P972="N",P972=FALSE,P972="no",P972=0),"no",TRUE,"yes")</f>
        <v>yes</v>
      </c>
      <c r="R972" s="5">
        <v>0.81</v>
      </c>
      <c r="S972">
        <f t="shared" si="79"/>
        <v>81</v>
      </c>
    </row>
    <row r="973" spans="1:19">
      <c r="A973" t="s">
        <v>2026</v>
      </c>
      <c r="B973" t="s">
        <v>2027</v>
      </c>
      <c r="C973" t="s">
        <v>55</v>
      </c>
      <c r="D973" t="str" cm="1">
        <f t="array" ref="D973">_xlfn.IFS(OR(LOWER(C973)="f",LOWER(C973)="female"),"Female",TRUE,"Male")</f>
        <v>Male</v>
      </c>
      <c r="E973">
        <v>32</v>
      </c>
      <c r="F973">
        <f t="shared" si="75"/>
        <v>32</v>
      </c>
      <c r="G973" t="s">
        <v>142</v>
      </c>
      <c r="H973" t="s">
        <v>143</v>
      </c>
      <c r="I973" t="s">
        <v>37</v>
      </c>
      <c r="J973">
        <v>1</v>
      </c>
      <c r="K973">
        <f t="shared" si="76"/>
        <v>1</v>
      </c>
      <c r="L973" t="s">
        <v>43</v>
      </c>
      <c r="M973" t="str">
        <f t="shared" si="77"/>
        <v>40</v>
      </c>
      <c r="N973">
        <v>3.1</v>
      </c>
      <c r="O973" s="3">
        <f t="shared" si="78"/>
        <v>3.1</v>
      </c>
      <c r="P973">
        <v>1</v>
      </c>
      <c r="Q973" t="str" cm="1">
        <f t="array" ref="Q973">_xlfn.IFS(ISBLANK(P973),"Not Specified",OR(P973="N",P973=FALSE,P973="no",P973=0),"no",TRUE,"yes")</f>
        <v>yes</v>
      </c>
      <c r="R973" s="5">
        <v>0.76</v>
      </c>
      <c r="S973">
        <f t="shared" si="79"/>
        <v>76</v>
      </c>
    </row>
    <row r="974" spans="1:19">
      <c r="A974" t="s">
        <v>2028</v>
      </c>
      <c r="B974" t="s">
        <v>2029</v>
      </c>
      <c r="C974" t="s">
        <v>68</v>
      </c>
      <c r="D974" t="str" cm="1">
        <f t="array" ref="D974">_xlfn.IFS(OR(LOWER(C974)="f",LOWER(C974)="female"),"Female",TRUE,"Male")</f>
        <v>Male</v>
      </c>
      <c r="E974">
        <v>24</v>
      </c>
      <c r="F974">
        <f t="shared" si="75"/>
        <v>24</v>
      </c>
      <c r="G974" t="s">
        <v>56</v>
      </c>
      <c r="H974" t="s">
        <v>57</v>
      </c>
      <c r="I974" t="s">
        <v>24</v>
      </c>
      <c r="J974">
        <v>3</v>
      </c>
      <c r="K974">
        <f t="shared" si="76"/>
        <v>3</v>
      </c>
      <c r="L974" t="s">
        <v>116</v>
      </c>
      <c r="M974" t="str">
        <f t="shared" si="77"/>
        <v> 30</v>
      </c>
      <c r="N974">
        <v>3.9</v>
      </c>
      <c r="O974" s="3">
        <f t="shared" si="78"/>
        <v>3.9</v>
      </c>
      <c r="P974" t="s">
        <v>38</v>
      </c>
      <c r="Q974" t="str" cm="1">
        <f t="array" ref="Q974">_xlfn.IFS(ISBLANK(P974),"Not Specified",OR(P974="N",P974=FALSE,P974="no",P974=0),"no",TRUE,"yes")</f>
        <v>no</v>
      </c>
      <c r="R974" s="5">
        <v>0.9</v>
      </c>
      <c r="S974">
        <f t="shared" si="79"/>
        <v>90</v>
      </c>
    </row>
    <row r="975" spans="1:19">
      <c r="A975" t="s">
        <v>2030</v>
      </c>
      <c r="B975" t="s">
        <v>2031</v>
      </c>
      <c r="C975" t="s">
        <v>68</v>
      </c>
      <c r="D975" t="str" cm="1">
        <f t="array" ref="D975">_xlfn.IFS(OR(LOWER(C975)="f",LOWER(C975)="female"),"Female",TRUE,"Male")</f>
        <v>Male</v>
      </c>
      <c r="E975">
        <v>35</v>
      </c>
      <c r="F975">
        <f t="shared" si="75"/>
        <v>35</v>
      </c>
      <c r="G975" t="s">
        <v>119</v>
      </c>
      <c r="H975" t="s">
        <v>120</v>
      </c>
      <c r="I975" t="s">
        <v>96</v>
      </c>
      <c r="J975">
        <v>14</v>
      </c>
      <c r="K975">
        <f t="shared" si="76"/>
        <v>14</v>
      </c>
      <c r="L975">
        <v>30</v>
      </c>
      <c r="M975" t="str">
        <f t="shared" si="77"/>
        <v>30</v>
      </c>
      <c r="N975">
        <v>1.6</v>
      </c>
      <c r="O975" s="3">
        <f t="shared" si="78"/>
        <v>1.6</v>
      </c>
      <c r="P975" t="s">
        <v>81</v>
      </c>
      <c r="Q975" t="str" cm="1">
        <f t="array" ref="Q975">_xlfn.IFS(ISBLANK(P975),"Not Specified",OR(P975="N",P975=FALSE,P975="no",P975=0),"no",TRUE,"yes")</f>
        <v>yes</v>
      </c>
      <c r="R975" s="5">
        <v>0.67</v>
      </c>
      <c r="S975">
        <f t="shared" si="79"/>
        <v>67</v>
      </c>
    </row>
    <row r="976" spans="1:19">
      <c r="A976" t="s">
        <v>2032</v>
      </c>
      <c r="B976" t="s">
        <v>2033</v>
      </c>
      <c r="C976" t="s">
        <v>46</v>
      </c>
      <c r="D976" t="str" cm="1">
        <f t="array" ref="D976">_xlfn.IFS(OR(LOWER(C976)="f",LOWER(C976)="female"),"Female",TRUE,"Male")</f>
        <v>Female</v>
      </c>
      <c r="E976">
        <v>43</v>
      </c>
      <c r="F976">
        <f t="shared" si="75"/>
        <v>43</v>
      </c>
      <c r="G976" t="s">
        <v>197</v>
      </c>
      <c r="H976" t="s">
        <v>79</v>
      </c>
      <c r="I976" t="s">
        <v>24</v>
      </c>
      <c r="J976">
        <v>2</v>
      </c>
      <c r="K976">
        <f t="shared" si="76"/>
        <v>2</v>
      </c>
      <c r="M976" t="str">
        <f t="shared" si="77"/>
        <v>Not Specified</v>
      </c>
      <c r="N976">
        <v>1.8</v>
      </c>
      <c r="O976" s="3">
        <f t="shared" si="78"/>
        <v>1.8</v>
      </c>
      <c r="P976" t="s">
        <v>166</v>
      </c>
      <c r="Q976" t="str" cm="1">
        <f t="array" ref="Q976">_xlfn.IFS(ISBLANK(P976),"Not Specified",OR(P976="N",P976=FALSE,P976="no",P976=0),"no",TRUE,"yes")</f>
        <v>no</v>
      </c>
      <c r="R976" s="5">
        <v>0.61</v>
      </c>
      <c r="S976">
        <f t="shared" si="79"/>
        <v>61</v>
      </c>
    </row>
    <row r="977" spans="1:19">
      <c r="A977" t="s">
        <v>2034</v>
      </c>
      <c r="B977" t="s">
        <v>2035</v>
      </c>
      <c r="C977" t="s">
        <v>34</v>
      </c>
      <c r="D977" t="str" cm="1">
        <f t="array" ref="D977">_xlfn.IFS(OR(LOWER(C977)="f",LOWER(C977)="female"),"Female",TRUE,"Male")</f>
        <v>Male</v>
      </c>
      <c r="E977">
        <v>53</v>
      </c>
      <c r="F977">
        <f t="shared" si="75"/>
        <v>53</v>
      </c>
      <c r="G977" t="s">
        <v>119</v>
      </c>
      <c r="H977" t="s">
        <v>120</v>
      </c>
      <c r="I977" t="s">
        <v>121</v>
      </c>
      <c r="J977">
        <v>27</v>
      </c>
      <c r="K977">
        <f t="shared" si="76"/>
        <v>27</v>
      </c>
      <c r="L977">
        <v>100</v>
      </c>
      <c r="M977" t="str">
        <f t="shared" si="77"/>
        <v>100</v>
      </c>
      <c r="N977">
        <v>3.7</v>
      </c>
      <c r="O977" s="3">
        <f t="shared" si="78"/>
        <v>3.7</v>
      </c>
      <c r="P977" t="s">
        <v>166</v>
      </c>
      <c r="Q977" t="str" cm="1">
        <f t="array" ref="Q977">_xlfn.IFS(ISBLANK(P977),"Not Specified",OR(P977="N",P977=FALSE,P977="no",P977=0),"no",TRUE,"yes")</f>
        <v>no</v>
      </c>
      <c r="R977" s="5">
        <v>0.73</v>
      </c>
      <c r="S977">
        <f t="shared" si="79"/>
        <v>73</v>
      </c>
    </row>
    <row r="978" spans="1:19">
      <c r="A978" t="s">
        <v>2036</v>
      </c>
      <c r="B978" t="s">
        <v>2037</v>
      </c>
      <c r="C978" t="s">
        <v>41</v>
      </c>
      <c r="D978" t="str" cm="1">
        <f t="array" ref="D978">_xlfn.IFS(OR(LOWER(C978)="f",LOWER(C978)="female"),"Female",TRUE,"Male")</f>
        <v>Female</v>
      </c>
      <c r="E978">
        <v>38</v>
      </c>
      <c r="F978">
        <f t="shared" si="75"/>
        <v>38</v>
      </c>
      <c r="G978" t="s">
        <v>131</v>
      </c>
      <c r="H978" t="s">
        <v>132</v>
      </c>
      <c r="I978" t="s">
        <v>96</v>
      </c>
      <c r="J978">
        <v>7</v>
      </c>
      <c r="K978">
        <f t="shared" si="76"/>
        <v>7</v>
      </c>
      <c r="L978">
        <v>75</v>
      </c>
      <c r="M978" t="str">
        <f t="shared" si="77"/>
        <v>75</v>
      </c>
      <c r="O978" s="3" t="str">
        <f t="shared" si="78"/>
        <v>Not Specified</v>
      </c>
      <c r="P978">
        <v>0</v>
      </c>
      <c r="Q978" t="str" cm="1">
        <f t="array" ref="Q978">_xlfn.IFS(ISBLANK(P978),"Not Specified",OR(P978="N",P978=FALSE,P978="no",P978=0),"no",TRUE,"yes")</f>
        <v>no</v>
      </c>
      <c r="S978" t="str">
        <f t="shared" si="79"/>
        <v>Not Specified</v>
      </c>
    </row>
    <row r="979" spans="1:19">
      <c r="A979" t="s">
        <v>2038</v>
      </c>
      <c r="B979" t="s">
        <v>2039</v>
      </c>
      <c r="C979" t="s">
        <v>104</v>
      </c>
      <c r="D979" t="str" cm="1">
        <f t="array" ref="D979">_xlfn.IFS(OR(LOWER(C979)="f",LOWER(C979)="female"),"Female",TRUE,"Male")</f>
        <v>Male</v>
      </c>
      <c r="E979">
        <v>57</v>
      </c>
      <c r="F979">
        <f t="shared" si="75"/>
        <v>57</v>
      </c>
      <c r="G979" t="s">
        <v>74</v>
      </c>
      <c r="H979" t="s">
        <v>29</v>
      </c>
      <c r="I979" t="s">
        <v>85</v>
      </c>
      <c r="J979">
        <v>29</v>
      </c>
      <c r="K979">
        <f t="shared" si="76"/>
        <v>29</v>
      </c>
      <c r="L979">
        <v>75</v>
      </c>
      <c r="M979" t="str">
        <f t="shared" si="77"/>
        <v>75</v>
      </c>
      <c r="N979">
        <v>4.1</v>
      </c>
      <c r="O979" s="3">
        <f t="shared" si="78"/>
        <v>4.1</v>
      </c>
      <c r="P979" t="s">
        <v>38</v>
      </c>
      <c r="Q979" t="str" cm="1">
        <f t="array" ref="Q979">_xlfn.IFS(ISBLANK(P979),"Not Specified",OR(P979="N",P979=FALSE,P979="no",P979=0),"no",TRUE,"yes")</f>
        <v>no</v>
      </c>
      <c r="R979" s="5">
        <v>0.9</v>
      </c>
      <c r="S979">
        <f t="shared" si="79"/>
        <v>90</v>
      </c>
    </row>
    <row r="980" spans="1:19">
      <c r="A980" t="s">
        <v>2040</v>
      </c>
      <c r="B980" t="s">
        <v>2041</v>
      </c>
      <c r="C980" t="s">
        <v>68</v>
      </c>
      <c r="D980" t="str" cm="1">
        <f t="array" ref="D980">_xlfn.IFS(OR(LOWER(C980)="f",LOWER(C980)="female"),"Female",TRUE,"Male")</f>
        <v>Male</v>
      </c>
      <c r="E980">
        <v>27</v>
      </c>
      <c r="F980">
        <f t="shared" si="75"/>
        <v>27</v>
      </c>
      <c r="G980" t="s">
        <v>182</v>
      </c>
      <c r="H980" t="s">
        <v>183</v>
      </c>
      <c r="I980" t="s">
        <v>24</v>
      </c>
      <c r="J980">
        <v>5</v>
      </c>
      <c r="K980">
        <f t="shared" si="76"/>
        <v>5</v>
      </c>
      <c r="L980" t="s">
        <v>177</v>
      </c>
      <c r="M980" t="str">
        <f t="shared" si="77"/>
        <v>75</v>
      </c>
      <c r="N980">
        <v>1.4</v>
      </c>
      <c r="O980" s="3">
        <f t="shared" si="78"/>
        <v>1.4</v>
      </c>
      <c r="P980" t="b">
        <v>1</v>
      </c>
      <c r="Q980" t="str" cm="1">
        <f t="array" ref="Q980">_xlfn.IFS(ISBLANK(P980),"Not Specified",OR(P980="N",P980=FALSE,P980="no",P980=0),"no",TRUE,"yes")</f>
        <v>yes</v>
      </c>
      <c r="R980" s="5">
        <v>0.64</v>
      </c>
      <c r="S980">
        <f t="shared" si="79"/>
        <v>64</v>
      </c>
    </row>
    <row r="981" spans="1:19">
      <c r="A981" t="s">
        <v>2042</v>
      </c>
      <c r="B981" t="s">
        <v>2043</v>
      </c>
      <c r="C981" t="s">
        <v>55</v>
      </c>
      <c r="D981" t="str" cm="1">
        <f t="array" ref="D981">_xlfn.IFS(OR(LOWER(C981)="f",LOWER(C981)="female"),"Female",TRUE,"Male")</f>
        <v>Male</v>
      </c>
      <c r="E981">
        <v>43</v>
      </c>
      <c r="F981">
        <f t="shared" si="75"/>
        <v>43</v>
      </c>
      <c r="G981" t="s">
        <v>78</v>
      </c>
      <c r="H981" t="s">
        <v>79</v>
      </c>
      <c r="I981" t="s">
        <v>42</v>
      </c>
      <c r="J981">
        <v>2</v>
      </c>
      <c r="K981">
        <f t="shared" si="76"/>
        <v>2</v>
      </c>
      <c r="L981">
        <v>100</v>
      </c>
      <c r="M981" t="str">
        <f t="shared" si="77"/>
        <v>100</v>
      </c>
      <c r="N981">
        <v>1.1</v>
      </c>
      <c r="O981" s="3">
        <f t="shared" si="78"/>
        <v>1.1</v>
      </c>
      <c r="P981">
        <v>1</v>
      </c>
      <c r="Q981" t="str" cm="1">
        <f t="array" ref="Q981">_xlfn.IFS(ISBLANK(P981),"Not Specified",OR(P981="N",P981=FALSE,P981="no",P981=0),"no",TRUE,"yes")</f>
        <v>yes</v>
      </c>
      <c r="R981" s="5">
        <v>0.63</v>
      </c>
      <c r="S981">
        <f t="shared" si="79"/>
        <v>63</v>
      </c>
    </row>
    <row r="982" spans="1:19">
      <c r="A982" t="s">
        <v>2044</v>
      </c>
      <c r="B982" t="s">
        <v>2045</v>
      </c>
      <c r="C982" t="s">
        <v>34</v>
      </c>
      <c r="D982" t="str" cm="1">
        <f t="array" ref="D982">_xlfn.IFS(OR(LOWER(C982)="f",LOWER(C982)="female"),"Female",TRUE,"Male")</f>
        <v>Male</v>
      </c>
      <c r="E982">
        <v>48</v>
      </c>
      <c r="F982">
        <f t="shared" si="75"/>
        <v>48</v>
      </c>
      <c r="G982" t="s">
        <v>135</v>
      </c>
      <c r="H982" t="s">
        <v>29</v>
      </c>
      <c r="I982" t="s">
        <v>58</v>
      </c>
      <c r="J982">
        <v>18</v>
      </c>
      <c r="K982">
        <f t="shared" si="76"/>
        <v>18</v>
      </c>
      <c r="L982" t="s">
        <v>43</v>
      </c>
      <c r="M982" t="str">
        <f t="shared" si="77"/>
        <v>40</v>
      </c>
      <c r="N982">
        <v>3.9</v>
      </c>
      <c r="O982" s="3">
        <f t="shared" si="78"/>
        <v>3.9</v>
      </c>
      <c r="Q982" t="str" cm="1">
        <f t="array" ref="Q982">_xlfn.IFS(ISBLANK(P982),"Not Specified",OR(P982="N",P982=FALSE,P982="no",P982=0),"no",TRUE,"yes")</f>
        <v>Not Specified</v>
      </c>
      <c r="S982" t="str">
        <f t="shared" si="79"/>
        <v>Not Specified</v>
      </c>
    </row>
    <row r="983" spans="1:19">
      <c r="A983" t="s">
        <v>2046</v>
      </c>
      <c r="B983" t="s">
        <v>2047</v>
      </c>
      <c r="C983" t="s">
        <v>99</v>
      </c>
      <c r="D983" t="str" cm="1">
        <f t="array" ref="D983">_xlfn.IFS(OR(LOWER(C983)="f",LOWER(C983)="female"),"Female",TRUE,"Male")</f>
        <v>Male</v>
      </c>
      <c r="E983">
        <v>26</v>
      </c>
      <c r="F983">
        <f t="shared" si="75"/>
        <v>26</v>
      </c>
      <c r="G983" t="s">
        <v>114</v>
      </c>
      <c r="H983" t="s">
        <v>115</v>
      </c>
      <c r="I983" t="s">
        <v>85</v>
      </c>
      <c r="J983">
        <v>8</v>
      </c>
      <c r="K983">
        <f t="shared" si="76"/>
        <v>8</v>
      </c>
      <c r="L983">
        <v>20</v>
      </c>
      <c r="M983" t="str">
        <f t="shared" si="77"/>
        <v>20</v>
      </c>
      <c r="N983">
        <v>3.6</v>
      </c>
      <c r="O983" s="3">
        <f t="shared" si="78"/>
        <v>3.6</v>
      </c>
      <c r="P983">
        <v>0</v>
      </c>
      <c r="Q983" t="str" cm="1">
        <f t="array" ref="Q983">_xlfn.IFS(ISBLANK(P983),"Not Specified",OR(P983="N",P983=FALSE,P983="no",P983=0),"no",TRUE,"yes")</f>
        <v>no</v>
      </c>
      <c r="R983" s="5">
        <v>0.67</v>
      </c>
      <c r="S983">
        <f t="shared" si="79"/>
        <v>67</v>
      </c>
    </row>
    <row r="984" spans="1:19">
      <c r="A984" t="s">
        <v>2048</v>
      </c>
      <c r="B984" t="s">
        <v>2049</v>
      </c>
      <c r="C984" t="s">
        <v>84</v>
      </c>
      <c r="D984" t="str" cm="1">
        <f t="array" ref="D984">_xlfn.IFS(OR(LOWER(C984)="f",LOWER(C984)="female"),"Female",TRUE,"Male")</f>
        <v>Female</v>
      </c>
      <c r="F984" t="str">
        <f t="shared" si="75"/>
        <v>Not Specified</v>
      </c>
      <c r="G984" t="s">
        <v>160</v>
      </c>
      <c r="H984" t="s">
        <v>161</v>
      </c>
      <c r="I984" t="s">
        <v>37</v>
      </c>
      <c r="J984">
        <v>0</v>
      </c>
      <c r="K984">
        <f t="shared" si="76"/>
        <v>0</v>
      </c>
      <c r="L984" t="s">
        <v>43</v>
      </c>
      <c r="M984" t="str">
        <f t="shared" si="77"/>
        <v>40</v>
      </c>
      <c r="N984">
        <v>0</v>
      </c>
      <c r="O984" s="3" t="str">
        <f t="shared" si="78"/>
        <v>Not Specified</v>
      </c>
      <c r="P984" t="s">
        <v>166</v>
      </c>
      <c r="Q984" t="str" cm="1">
        <f t="array" ref="Q984">_xlfn.IFS(ISBLANK(P984),"Not Specified",OR(P984="N",P984=FALSE,P984="no",P984=0),"no",TRUE,"yes")</f>
        <v>no</v>
      </c>
      <c r="R984" s="5">
        <v>0.97</v>
      </c>
      <c r="S984">
        <f t="shared" si="79"/>
        <v>97</v>
      </c>
    </row>
    <row r="985" spans="1:19">
      <c r="A985" t="s">
        <v>2050</v>
      </c>
      <c r="B985" t="s">
        <v>2051</v>
      </c>
      <c r="C985" t="s">
        <v>46</v>
      </c>
      <c r="D985" t="str" cm="1">
        <f t="array" ref="D985">_xlfn.IFS(OR(LOWER(C985)="f",LOWER(C985)="female"),"Female",TRUE,"Male")</f>
        <v>Female</v>
      </c>
      <c r="E985">
        <v>50</v>
      </c>
      <c r="F985">
        <f t="shared" si="75"/>
        <v>50</v>
      </c>
      <c r="G985" t="s">
        <v>22</v>
      </c>
      <c r="H985" t="s">
        <v>23</v>
      </c>
      <c r="I985" t="s">
        <v>58</v>
      </c>
      <c r="J985">
        <v>16</v>
      </c>
      <c r="K985">
        <f t="shared" si="76"/>
        <v>16</v>
      </c>
      <c r="L985" t="s">
        <v>177</v>
      </c>
      <c r="M985" t="str">
        <f t="shared" si="77"/>
        <v>75</v>
      </c>
      <c r="N985">
        <v>4.5</v>
      </c>
      <c r="O985" s="3">
        <f t="shared" si="78"/>
        <v>4.5</v>
      </c>
      <c r="P985">
        <v>0</v>
      </c>
      <c r="Q985" t="str" cm="1">
        <f t="array" ref="Q985">_xlfn.IFS(ISBLANK(P985),"Not Specified",OR(P985="N",P985=FALSE,P985="no",P985=0),"no",TRUE,"yes")</f>
        <v>no</v>
      </c>
      <c r="R985">
        <v>69</v>
      </c>
      <c r="S985">
        <f t="shared" si="79"/>
        <v>69</v>
      </c>
    </row>
    <row r="986" spans="1:19">
      <c r="A986" t="s">
        <v>2052</v>
      </c>
      <c r="B986" t="s">
        <v>2053</v>
      </c>
      <c r="C986" t="s">
        <v>55</v>
      </c>
      <c r="D986" t="str" cm="1">
        <f t="array" ref="D986">_xlfn.IFS(OR(LOWER(C986)="f",LOWER(C986)="female"),"Female",TRUE,"Male")</f>
        <v>Male</v>
      </c>
      <c r="E986">
        <v>48</v>
      </c>
      <c r="F986">
        <f t="shared" si="75"/>
        <v>48</v>
      </c>
      <c r="G986" t="s">
        <v>160</v>
      </c>
      <c r="H986" t="s">
        <v>161</v>
      </c>
      <c r="I986" t="s">
        <v>42</v>
      </c>
      <c r="J986">
        <v>8</v>
      </c>
      <c r="K986">
        <f t="shared" si="76"/>
        <v>8</v>
      </c>
      <c r="L986">
        <v>50</v>
      </c>
      <c r="M986" t="str">
        <f t="shared" si="77"/>
        <v>50</v>
      </c>
      <c r="O986" s="3" t="str">
        <f t="shared" si="78"/>
        <v>Not Specified</v>
      </c>
      <c r="P986">
        <v>1</v>
      </c>
      <c r="Q986" t="str" cm="1">
        <f t="array" ref="Q986">_xlfn.IFS(ISBLANK(P986),"Not Specified",OR(P986="N",P986=FALSE,P986="no",P986=0),"no",TRUE,"yes")</f>
        <v>yes</v>
      </c>
      <c r="R986" s="5">
        <v>0.73</v>
      </c>
      <c r="S986">
        <f t="shared" si="79"/>
        <v>73</v>
      </c>
    </row>
    <row r="987" spans="1:19">
      <c r="A987" t="s">
        <v>2054</v>
      </c>
      <c r="B987" t="s">
        <v>2055</v>
      </c>
      <c r="C987" t="s">
        <v>55</v>
      </c>
      <c r="D987" t="str" cm="1">
        <f t="array" ref="D987">_xlfn.IFS(OR(LOWER(C987)="f",LOWER(C987)="female"),"Female",TRUE,"Male")</f>
        <v>Male</v>
      </c>
      <c r="E987">
        <v>60</v>
      </c>
      <c r="F987">
        <f t="shared" si="75"/>
        <v>60</v>
      </c>
      <c r="G987" t="s">
        <v>197</v>
      </c>
      <c r="H987" t="s">
        <v>79</v>
      </c>
      <c r="I987" t="s">
        <v>24</v>
      </c>
      <c r="J987">
        <v>39</v>
      </c>
      <c r="K987">
        <f t="shared" si="76"/>
        <v>39</v>
      </c>
      <c r="L987">
        <v>20</v>
      </c>
      <c r="M987" t="str">
        <f t="shared" si="77"/>
        <v>20</v>
      </c>
      <c r="N987">
        <v>1.4</v>
      </c>
      <c r="O987" s="3">
        <f t="shared" si="78"/>
        <v>1.4</v>
      </c>
      <c r="P987" t="b">
        <v>1</v>
      </c>
      <c r="Q987" t="str" cm="1">
        <f t="array" ref="Q987">_xlfn.IFS(ISBLANK(P987),"Not Specified",OR(P987="N",P987=FALSE,P987="no",P987=0),"no",TRUE,"yes")</f>
        <v>yes</v>
      </c>
      <c r="R987" s="5">
        <v>0.86</v>
      </c>
      <c r="S987">
        <f t="shared" si="79"/>
        <v>86</v>
      </c>
    </row>
    <row r="988" spans="1:19">
      <c r="A988" t="s">
        <v>2056</v>
      </c>
      <c r="B988" t="s">
        <v>2057</v>
      </c>
      <c r="C988" t="s">
        <v>104</v>
      </c>
      <c r="D988" t="str" cm="1">
        <f t="array" ref="D988">_xlfn.IFS(OR(LOWER(C988)="f",LOWER(C988)="female"),"Female",TRUE,"Male")</f>
        <v>Male</v>
      </c>
      <c r="E988">
        <v>26</v>
      </c>
      <c r="F988">
        <f t="shared" si="75"/>
        <v>26</v>
      </c>
      <c r="G988" t="s">
        <v>146</v>
      </c>
      <c r="H988" t="s">
        <v>147</v>
      </c>
      <c r="I988" t="s">
        <v>121</v>
      </c>
      <c r="K988" t="str">
        <f t="shared" si="76"/>
        <v>Not Specified</v>
      </c>
      <c r="L988">
        <v>50</v>
      </c>
      <c r="M988" t="str">
        <f t="shared" si="77"/>
        <v>50</v>
      </c>
      <c r="N988">
        <v>0</v>
      </c>
      <c r="O988" s="3" t="str">
        <f t="shared" si="78"/>
        <v>Not Specified</v>
      </c>
      <c r="P988" t="s">
        <v>75</v>
      </c>
      <c r="Q988" t="str" cm="1">
        <f t="array" ref="Q988">_xlfn.IFS(ISBLANK(P988),"Not Specified",OR(P988="N",P988=FALSE,P988="no",P988=0),"no",TRUE,"yes")</f>
        <v>yes</v>
      </c>
      <c r="R988">
        <v>81</v>
      </c>
      <c r="S988">
        <f t="shared" si="79"/>
        <v>81</v>
      </c>
    </row>
    <row r="989" spans="1:19">
      <c r="A989" t="s">
        <v>2058</v>
      </c>
      <c r="B989" t="s">
        <v>2059</v>
      </c>
      <c r="C989" t="s">
        <v>27</v>
      </c>
      <c r="D989" t="str" cm="1">
        <f t="array" ref="D989">_xlfn.IFS(OR(LOWER(C989)="f",LOWER(C989)="female"),"Female",TRUE,"Male")</f>
        <v>Female</v>
      </c>
      <c r="E989">
        <v>35</v>
      </c>
      <c r="F989">
        <f t="shared" si="75"/>
        <v>35</v>
      </c>
      <c r="G989" t="s">
        <v>119</v>
      </c>
      <c r="H989" t="s">
        <v>120</v>
      </c>
      <c r="I989" t="s">
        <v>37</v>
      </c>
      <c r="J989">
        <v>16</v>
      </c>
      <c r="K989">
        <f t="shared" si="76"/>
        <v>16</v>
      </c>
      <c r="L989" t="s">
        <v>31</v>
      </c>
      <c r="M989" t="str">
        <f t="shared" si="77"/>
        <v> 100</v>
      </c>
      <c r="N989">
        <v>4.3</v>
      </c>
      <c r="O989" s="3">
        <f t="shared" si="78"/>
        <v>4.3</v>
      </c>
      <c r="P989">
        <v>1</v>
      </c>
      <c r="Q989" t="str" cm="1">
        <f t="array" ref="Q989">_xlfn.IFS(ISBLANK(P989),"Not Specified",OR(P989="N",P989=FALSE,P989="no",P989=0),"no",TRUE,"yes")</f>
        <v>yes</v>
      </c>
      <c r="R989" s="5">
        <v>0.74</v>
      </c>
      <c r="S989">
        <f t="shared" si="79"/>
        <v>74</v>
      </c>
    </row>
    <row r="990" spans="1:19">
      <c r="A990" t="s">
        <v>2060</v>
      </c>
      <c r="B990" t="s">
        <v>2061</v>
      </c>
      <c r="C990" t="s">
        <v>104</v>
      </c>
      <c r="D990" t="str" cm="1">
        <f t="array" ref="D990">_xlfn.IFS(OR(LOWER(C990)="f",LOWER(C990)="female"),"Female",TRUE,"Male")</f>
        <v>Male</v>
      </c>
      <c r="E990">
        <v>23</v>
      </c>
      <c r="F990">
        <f t="shared" si="75"/>
        <v>23</v>
      </c>
      <c r="G990" t="s">
        <v>65</v>
      </c>
      <c r="H990" t="s">
        <v>29</v>
      </c>
      <c r="I990" t="s">
        <v>24</v>
      </c>
      <c r="J990">
        <v>4</v>
      </c>
      <c r="K990">
        <f t="shared" si="76"/>
        <v>4</v>
      </c>
      <c r="L990" t="s">
        <v>236</v>
      </c>
      <c r="M990" t="str">
        <f t="shared" si="77"/>
        <v>100</v>
      </c>
      <c r="N990">
        <v>2.2</v>
      </c>
      <c r="O990" s="3">
        <f t="shared" si="78"/>
        <v>2.2</v>
      </c>
      <c r="P990">
        <v>1</v>
      </c>
      <c r="Q990" t="str" cm="1">
        <f t="array" ref="Q990">_xlfn.IFS(ISBLANK(P990),"Not Specified",OR(P990="N",P990=FALSE,P990="no",P990=0),"no",TRUE,"yes")</f>
        <v>yes</v>
      </c>
      <c r="R990">
        <v>64</v>
      </c>
      <c r="S990">
        <f t="shared" si="79"/>
        <v>64</v>
      </c>
    </row>
    <row r="991" spans="1:19">
      <c r="A991" t="s">
        <v>2062</v>
      </c>
      <c r="B991" t="s">
        <v>2063</v>
      </c>
      <c r="C991" t="s">
        <v>104</v>
      </c>
      <c r="D991" t="str" cm="1">
        <f t="array" ref="D991">_xlfn.IFS(OR(LOWER(C991)="f",LOWER(C991)="female"),"Female",TRUE,"Male")</f>
        <v>Male</v>
      </c>
      <c r="E991">
        <v>37</v>
      </c>
      <c r="F991">
        <f t="shared" si="75"/>
        <v>37</v>
      </c>
      <c r="G991" t="s">
        <v>28</v>
      </c>
      <c r="H991" t="s">
        <v>29</v>
      </c>
      <c r="I991" t="s">
        <v>37</v>
      </c>
      <c r="J991">
        <v>4</v>
      </c>
      <c r="K991">
        <f t="shared" si="76"/>
        <v>4</v>
      </c>
      <c r="L991">
        <v>75</v>
      </c>
      <c r="M991" t="str">
        <f t="shared" si="77"/>
        <v>75</v>
      </c>
      <c r="N991">
        <v>3.2</v>
      </c>
      <c r="O991" s="3">
        <f t="shared" si="78"/>
        <v>3.2</v>
      </c>
      <c r="P991" t="b">
        <v>0</v>
      </c>
      <c r="Q991" t="str" cm="1">
        <f t="array" ref="Q991">_xlfn.IFS(ISBLANK(P991),"Not Specified",OR(P991="N",P991=FALSE,P991="no",P991=0),"no",TRUE,"yes")</f>
        <v>no</v>
      </c>
      <c r="R991" s="5">
        <v>0.76</v>
      </c>
      <c r="S991">
        <f t="shared" si="79"/>
        <v>76</v>
      </c>
    </row>
    <row r="992" spans="1:19">
      <c r="A992" t="s">
        <v>2064</v>
      </c>
      <c r="B992" t="s">
        <v>2065</v>
      </c>
      <c r="C992" t="s">
        <v>27</v>
      </c>
      <c r="D992" t="str" cm="1">
        <f t="array" ref="D992">_xlfn.IFS(OR(LOWER(C992)="f",LOWER(C992)="female"),"Female",TRUE,"Male")</f>
        <v>Female</v>
      </c>
      <c r="E992">
        <v>21</v>
      </c>
      <c r="F992">
        <f t="shared" si="75"/>
        <v>21</v>
      </c>
      <c r="G992" t="s">
        <v>78</v>
      </c>
      <c r="H992" t="s">
        <v>79</v>
      </c>
      <c r="I992" t="s">
        <v>51</v>
      </c>
      <c r="J992">
        <v>2</v>
      </c>
      <c r="K992">
        <f t="shared" si="76"/>
        <v>2</v>
      </c>
      <c r="L992">
        <v>100</v>
      </c>
      <c r="M992" t="str">
        <f t="shared" si="77"/>
        <v>100</v>
      </c>
      <c r="N992">
        <v>3.7</v>
      </c>
      <c r="O992" s="3">
        <f t="shared" si="78"/>
        <v>3.7</v>
      </c>
      <c r="P992" t="s">
        <v>75</v>
      </c>
      <c r="Q992" t="str" cm="1">
        <f t="array" ref="Q992">_xlfn.IFS(ISBLANK(P992),"Not Specified",OR(P992="N",P992=FALSE,P992="no",P992=0),"no",TRUE,"yes")</f>
        <v>yes</v>
      </c>
      <c r="R992">
        <v>73</v>
      </c>
      <c r="S992">
        <f t="shared" si="79"/>
        <v>73</v>
      </c>
    </row>
    <row r="993" spans="1:19">
      <c r="A993" t="s">
        <v>2066</v>
      </c>
      <c r="B993" t="s">
        <v>2067</v>
      </c>
      <c r="C993" t="s">
        <v>27</v>
      </c>
      <c r="D993" t="str" cm="1">
        <f t="array" ref="D993">_xlfn.IFS(OR(LOWER(C993)="f",LOWER(C993)="female"),"Female",TRUE,"Male")</f>
        <v>Female</v>
      </c>
      <c r="E993">
        <v>58</v>
      </c>
      <c r="F993">
        <f t="shared" si="75"/>
        <v>58</v>
      </c>
      <c r="G993" t="s">
        <v>35</v>
      </c>
      <c r="H993" t="s">
        <v>36</v>
      </c>
      <c r="I993" t="s">
        <v>80</v>
      </c>
      <c r="J993">
        <v>37</v>
      </c>
      <c r="K993">
        <f t="shared" si="76"/>
        <v>37</v>
      </c>
      <c r="L993" t="s">
        <v>105</v>
      </c>
      <c r="M993" t="str">
        <f t="shared" si="77"/>
        <v> 50</v>
      </c>
      <c r="N993">
        <v>4.9</v>
      </c>
      <c r="O993" s="3">
        <f t="shared" si="78"/>
        <v>4.9</v>
      </c>
      <c r="P993" t="b">
        <v>0</v>
      </c>
      <c r="Q993" t="str" cm="1">
        <f t="array" ref="Q993">_xlfn.IFS(ISBLANK(P993),"Not Specified",OR(P993="N",P993=FALSE,P993="no",P993=0),"no",TRUE,"yes")</f>
        <v>no</v>
      </c>
      <c r="R993" s="5">
        <v>0.69</v>
      </c>
      <c r="S993">
        <f t="shared" si="79"/>
        <v>69</v>
      </c>
    </row>
    <row r="994" spans="1:19">
      <c r="A994" t="s">
        <v>2068</v>
      </c>
      <c r="B994" t="s">
        <v>2069</v>
      </c>
      <c r="C994" t="s">
        <v>84</v>
      </c>
      <c r="D994" t="str" cm="1">
        <f t="array" ref="D994">_xlfn.IFS(OR(LOWER(C994)="f",LOWER(C994)="female"),"Female",TRUE,"Male")</f>
        <v>Female</v>
      </c>
      <c r="E994">
        <v>52</v>
      </c>
      <c r="F994">
        <f t="shared" si="75"/>
        <v>52</v>
      </c>
      <c r="G994" t="s">
        <v>56</v>
      </c>
      <c r="H994" t="s">
        <v>57</v>
      </c>
      <c r="I994" t="s">
        <v>30</v>
      </c>
      <c r="J994">
        <v>32</v>
      </c>
      <c r="K994">
        <f t="shared" si="76"/>
        <v>32</v>
      </c>
      <c r="L994" t="s">
        <v>177</v>
      </c>
      <c r="M994" t="str">
        <f t="shared" si="77"/>
        <v>75</v>
      </c>
      <c r="N994">
        <v>3.2</v>
      </c>
      <c r="O994" s="3">
        <f t="shared" si="78"/>
        <v>3.2</v>
      </c>
      <c r="P994">
        <v>0</v>
      </c>
      <c r="Q994" t="str" cm="1">
        <f t="array" ref="Q994">_xlfn.IFS(ISBLANK(P994),"Not Specified",OR(P994="N",P994=FALSE,P994="no",P994=0),"no",TRUE,"yes")</f>
        <v>no</v>
      </c>
      <c r="R994" s="5">
        <v>0.79</v>
      </c>
      <c r="S994">
        <f t="shared" si="79"/>
        <v>79</v>
      </c>
    </row>
    <row r="995" spans="1:19">
      <c r="A995" t="s">
        <v>2070</v>
      </c>
      <c r="B995" t="s">
        <v>2071</v>
      </c>
      <c r="C995" t="s">
        <v>34</v>
      </c>
      <c r="D995" t="str" cm="1">
        <f t="array" ref="D995">_xlfn.IFS(OR(LOWER(C995)="f",LOWER(C995)="female"),"Female",TRUE,"Male")</f>
        <v>Male</v>
      </c>
      <c r="E995">
        <v>46</v>
      </c>
      <c r="F995">
        <f t="shared" si="75"/>
        <v>46</v>
      </c>
      <c r="G995" t="s">
        <v>131</v>
      </c>
      <c r="H995" t="s">
        <v>132</v>
      </c>
      <c r="I995" t="s">
        <v>30</v>
      </c>
      <c r="J995">
        <v>8</v>
      </c>
      <c r="K995">
        <f t="shared" si="76"/>
        <v>8</v>
      </c>
      <c r="L995">
        <v>20</v>
      </c>
      <c r="M995" t="str">
        <f t="shared" si="77"/>
        <v>20</v>
      </c>
      <c r="N995">
        <v>2.2</v>
      </c>
      <c r="O995" s="3">
        <f t="shared" si="78"/>
        <v>2.2</v>
      </c>
      <c r="Q995" t="str" cm="1">
        <f t="array" ref="Q995">_xlfn.IFS(ISBLANK(P995),"Not Specified",OR(P995="N",P995=FALSE,P995="no",P995=0),"no",TRUE,"yes")</f>
        <v>Not Specified</v>
      </c>
      <c r="R995">
        <v>89</v>
      </c>
      <c r="S995">
        <f t="shared" si="79"/>
        <v>89</v>
      </c>
    </row>
    <row r="996" spans="1:19">
      <c r="A996" t="s">
        <v>2072</v>
      </c>
      <c r="B996" t="s">
        <v>2073</v>
      </c>
      <c r="C996" t="s">
        <v>84</v>
      </c>
      <c r="D996" t="str" cm="1">
        <f t="array" ref="D996">_xlfn.IFS(OR(LOWER(C996)="f",LOWER(C996)="female"),"Female",TRUE,"Male")</f>
        <v>Female</v>
      </c>
      <c r="E996">
        <v>34</v>
      </c>
      <c r="F996">
        <f t="shared" si="75"/>
        <v>34</v>
      </c>
      <c r="G996" t="s">
        <v>160</v>
      </c>
      <c r="H996" t="s">
        <v>161</v>
      </c>
      <c r="I996" t="s">
        <v>96</v>
      </c>
      <c r="J996">
        <v>8</v>
      </c>
      <c r="K996">
        <f t="shared" si="76"/>
        <v>8</v>
      </c>
      <c r="L996">
        <v>30</v>
      </c>
      <c r="M996" t="str">
        <f t="shared" si="77"/>
        <v>30</v>
      </c>
      <c r="N996">
        <v>3.9</v>
      </c>
      <c r="O996" s="3">
        <f t="shared" si="78"/>
        <v>3.9</v>
      </c>
      <c r="P996" t="s">
        <v>81</v>
      </c>
      <c r="Q996" t="str" cm="1">
        <f t="array" ref="Q996">_xlfn.IFS(ISBLANK(P996),"Not Specified",OR(P996="N",P996=FALSE,P996="no",P996=0),"no",TRUE,"yes")</f>
        <v>yes</v>
      </c>
      <c r="R996" s="5">
        <v>0.95</v>
      </c>
      <c r="S996">
        <f t="shared" si="79"/>
        <v>95</v>
      </c>
    </row>
    <row r="997" spans="1:19">
      <c r="A997" t="s">
        <v>2074</v>
      </c>
      <c r="B997" t="s">
        <v>2075</v>
      </c>
      <c r="C997" t="s">
        <v>104</v>
      </c>
      <c r="D997" t="str" cm="1">
        <f t="array" ref="D997">_xlfn.IFS(OR(LOWER(C997)="f",LOWER(C997)="female"),"Female",TRUE,"Male")</f>
        <v>Male</v>
      </c>
      <c r="E997">
        <v>56</v>
      </c>
      <c r="F997">
        <f t="shared" si="75"/>
        <v>56</v>
      </c>
      <c r="G997" t="s">
        <v>69</v>
      </c>
      <c r="H997" t="s">
        <v>70</v>
      </c>
      <c r="I997" t="s">
        <v>96</v>
      </c>
      <c r="J997">
        <v>13</v>
      </c>
      <c r="K997">
        <f t="shared" si="76"/>
        <v>13</v>
      </c>
      <c r="L997">
        <v>100</v>
      </c>
      <c r="M997" t="str">
        <f t="shared" si="77"/>
        <v>100</v>
      </c>
      <c r="N997">
        <v>0</v>
      </c>
      <c r="O997" s="3" t="str">
        <f t="shared" si="78"/>
        <v>Not Specified</v>
      </c>
      <c r="P997" t="s">
        <v>166</v>
      </c>
      <c r="Q997" t="str" cm="1">
        <f t="array" ref="Q997">_xlfn.IFS(ISBLANK(P997),"Not Specified",OR(P997="N",P997=FALSE,P997="no",P997=0),"no",TRUE,"yes")</f>
        <v>no</v>
      </c>
      <c r="R997" s="5">
        <v>0.68</v>
      </c>
      <c r="S997">
        <f t="shared" si="79"/>
        <v>68</v>
      </c>
    </row>
    <row r="998" spans="1:19">
      <c r="A998" t="s">
        <v>2076</v>
      </c>
      <c r="B998" t="s">
        <v>2077</v>
      </c>
      <c r="C998" t="s">
        <v>21</v>
      </c>
      <c r="D998" t="str" cm="1">
        <f t="array" ref="D998">_xlfn.IFS(OR(LOWER(C998)="f",LOWER(C998)="female"),"Female",TRUE,"Male")</f>
        <v>Female</v>
      </c>
      <c r="E998">
        <v>26</v>
      </c>
      <c r="F998">
        <f t="shared" si="75"/>
        <v>26</v>
      </c>
      <c r="G998" t="s">
        <v>35</v>
      </c>
      <c r="H998" t="s">
        <v>36</v>
      </c>
      <c r="I998" t="s">
        <v>24</v>
      </c>
      <c r="J998">
        <v>6</v>
      </c>
      <c r="K998">
        <f t="shared" si="76"/>
        <v>6</v>
      </c>
      <c r="L998" t="s">
        <v>62</v>
      </c>
      <c r="M998" t="str">
        <f t="shared" si="77"/>
        <v> 40</v>
      </c>
      <c r="N998">
        <v>2.8</v>
      </c>
      <c r="O998" s="3">
        <f t="shared" si="78"/>
        <v>2.8</v>
      </c>
      <c r="P998" t="s">
        <v>38</v>
      </c>
      <c r="Q998" t="str" cm="1">
        <f t="array" ref="Q998">_xlfn.IFS(ISBLANK(P998),"Not Specified",OR(P998="N",P998=FALSE,P998="no",P998=0),"no",TRUE,"yes")</f>
        <v>no</v>
      </c>
      <c r="R998">
        <v>82</v>
      </c>
      <c r="S998">
        <f t="shared" si="79"/>
        <v>82</v>
      </c>
    </row>
    <row r="999" spans="1:19">
      <c r="A999" t="s">
        <v>2078</v>
      </c>
      <c r="B999" t="s">
        <v>2079</v>
      </c>
      <c r="C999" t="s">
        <v>46</v>
      </c>
      <c r="D999" t="str" cm="1">
        <f t="array" ref="D999">_xlfn.IFS(OR(LOWER(C999)="f",LOWER(C999)="female"),"Female",TRUE,"Male")</f>
        <v>Female</v>
      </c>
      <c r="E999">
        <v>37</v>
      </c>
      <c r="F999">
        <f t="shared" si="75"/>
        <v>37</v>
      </c>
      <c r="G999" t="s">
        <v>92</v>
      </c>
      <c r="H999" t="s">
        <v>93</v>
      </c>
      <c r="I999" t="s">
        <v>58</v>
      </c>
      <c r="J999">
        <v>15</v>
      </c>
      <c r="K999">
        <f t="shared" si="76"/>
        <v>15</v>
      </c>
      <c r="L999">
        <v>75</v>
      </c>
      <c r="M999" t="str">
        <f t="shared" si="77"/>
        <v>75</v>
      </c>
      <c r="O999" s="3" t="str">
        <f t="shared" si="78"/>
        <v>Not Specified</v>
      </c>
      <c r="P999" t="b">
        <v>0</v>
      </c>
      <c r="Q999" t="str" cm="1">
        <f t="array" ref="Q999">_xlfn.IFS(ISBLANK(P999),"Not Specified",OR(P999="N",P999=FALSE,P999="no",P999=0),"no",TRUE,"yes")</f>
        <v>no</v>
      </c>
      <c r="R999" s="5">
        <v>0.94</v>
      </c>
      <c r="S999">
        <f t="shared" si="79"/>
        <v>94</v>
      </c>
    </row>
    <row r="1000" spans="1:19">
      <c r="A1000" t="s">
        <v>2080</v>
      </c>
      <c r="B1000" t="s">
        <v>2081</v>
      </c>
      <c r="C1000" t="s">
        <v>55</v>
      </c>
      <c r="D1000" t="str" cm="1">
        <f t="array" ref="D1000">_xlfn.IFS(OR(LOWER(C1000)="f",LOWER(C1000)="female"),"Female",TRUE,"Male")</f>
        <v>Male</v>
      </c>
      <c r="E1000">
        <v>46</v>
      </c>
      <c r="F1000">
        <f t="shared" si="75"/>
        <v>46</v>
      </c>
      <c r="G1000" t="s">
        <v>131</v>
      </c>
      <c r="H1000" t="s">
        <v>132</v>
      </c>
      <c r="I1000" t="s">
        <v>121</v>
      </c>
      <c r="J1000">
        <v>22</v>
      </c>
      <c r="K1000">
        <f t="shared" si="76"/>
        <v>22</v>
      </c>
      <c r="L1000">
        <v>100</v>
      </c>
      <c r="M1000" t="str">
        <f t="shared" si="77"/>
        <v>100</v>
      </c>
      <c r="N1000">
        <v>2.8</v>
      </c>
      <c r="O1000" s="3">
        <f t="shared" si="78"/>
        <v>2.8</v>
      </c>
      <c r="P1000" t="s">
        <v>75</v>
      </c>
      <c r="Q1000" t="str" cm="1">
        <f t="array" ref="Q1000">_xlfn.IFS(ISBLANK(P1000),"Not Specified",OR(P1000="N",P1000=FALSE,P1000="no",P1000=0),"no",TRUE,"yes")</f>
        <v>yes</v>
      </c>
      <c r="R1000">
        <v>97</v>
      </c>
      <c r="S1000">
        <f t="shared" si="79"/>
        <v>97</v>
      </c>
    </row>
    <row r="1001" spans="1:19">
      <c r="A1001" t="s">
        <v>2082</v>
      </c>
      <c r="B1001" t="s">
        <v>2083</v>
      </c>
      <c r="C1001" t="s">
        <v>84</v>
      </c>
      <c r="D1001" t="str" cm="1">
        <f t="array" ref="D1001">_xlfn.IFS(OR(LOWER(C1001)="f",LOWER(C1001)="female"),"Female",TRUE,"Male")</f>
        <v>Female</v>
      </c>
      <c r="E1001">
        <v>36</v>
      </c>
      <c r="F1001">
        <f t="shared" si="75"/>
        <v>36</v>
      </c>
      <c r="G1001" t="s">
        <v>186</v>
      </c>
      <c r="H1001" t="s">
        <v>79</v>
      </c>
      <c r="I1001" t="s">
        <v>80</v>
      </c>
      <c r="J1001">
        <v>18</v>
      </c>
      <c r="K1001">
        <f t="shared" si="76"/>
        <v>18</v>
      </c>
      <c r="L1001" t="s">
        <v>128</v>
      </c>
      <c r="M1001" t="str">
        <f t="shared" si="77"/>
        <v>20</v>
      </c>
      <c r="N1001">
        <v>1.7</v>
      </c>
      <c r="O1001" s="3">
        <f t="shared" si="78"/>
        <v>1.7</v>
      </c>
      <c r="P1001">
        <v>1</v>
      </c>
      <c r="Q1001" t="str" cm="1">
        <f t="array" ref="Q1001">_xlfn.IFS(ISBLANK(P1001),"Not Specified",OR(P1001="N",P1001=FALSE,P1001="no",P1001=0),"no",TRUE,"yes")</f>
        <v>yes</v>
      </c>
      <c r="R1001">
        <v>72</v>
      </c>
      <c r="S1001">
        <f t="shared" si="79"/>
        <v>72</v>
      </c>
    </row>
  </sheetData>
  <autoFilter xmlns:etc="http://www.wps.cn/officeDocument/2017/etCustomData" ref="A1:S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global_freelancers_raw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Ling</cp:lastModifiedBy>
  <dcterms:created xsi:type="dcterms:W3CDTF">2026-02-19T07:45:34Z</dcterms:created>
  <dcterms:modified xsi:type="dcterms:W3CDTF">2026-02-19T08:23:55Z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28E10F913B55464EA2C8E4609E99BA5D_13</vt:lpwstr>
  </property>
</Properties>
</file>